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hany_indraswara\Downloads\"/>
    </mc:Choice>
  </mc:AlternateContent>
  <xr:revisionPtr revIDLastSave="0" documentId="13_ncr:1_{120021FA-5BD2-4546-B7CC-9AA6F66EA8F3}" xr6:coauthVersionLast="47" xr6:coauthVersionMax="47" xr10:uidLastSave="{00000000-0000-0000-0000-000000000000}"/>
  <bookViews>
    <workbookView xWindow="-108" yWindow="-108" windowWidth="23256" windowHeight="13896" tabRatio="567" xr2:uid="{0F3F60B8-6473-4F65-BB76-B7FC048C5DE1}"/>
  </bookViews>
  <sheets>
    <sheet name="MSBP Consolidated Plan" sheetId="1" r:id="rId1"/>
    <sheet name="Setting" sheetId="2" r:id="rId2"/>
  </sheets>
  <definedNames>
    <definedName name="_xlnm._FilterDatabase" localSheetId="0" hidden="1">'MSBP Consolidated Plan'!$A$125:$I$243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507" i="1" l="1"/>
  <c r="U507" i="1"/>
  <c r="S135" i="1"/>
  <c r="U135" i="1"/>
  <c r="S136" i="1"/>
  <c r="U136" i="1"/>
  <c r="U168" i="1"/>
  <c r="S168" i="1"/>
  <c r="U167" i="1"/>
  <c r="S167" i="1"/>
  <c r="U166" i="1"/>
  <c r="S166" i="1"/>
  <c r="S134" i="1" l="1"/>
  <c r="U134" i="1"/>
  <c r="S126" i="1"/>
  <c r="S127" i="1"/>
  <c r="S128" i="1"/>
  <c r="S129" i="1"/>
  <c r="S130" i="1"/>
  <c r="S131" i="1"/>
  <c r="S132" i="1"/>
  <c r="S133"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U126" i="1"/>
  <c r="U127" i="1"/>
  <c r="U128" i="1"/>
  <c r="U129" i="1"/>
  <c r="U130" i="1"/>
  <c r="U131" i="1"/>
  <c r="U132" i="1"/>
  <c r="U133"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AB220" i="1"/>
  <c r="AB219" i="1"/>
  <c r="AB218" i="1"/>
  <c r="AB217" i="1"/>
  <c r="AB216" i="1"/>
  <c r="AB215" i="1"/>
  <c r="AB214" i="1"/>
  <c r="AB213" i="1"/>
  <c r="AB212" i="1"/>
  <c r="AB211" i="1"/>
  <c r="S124" i="1"/>
  <c r="S120" i="1"/>
  <c r="U125" i="1"/>
  <c r="S125" i="1"/>
  <c r="S85" i="1"/>
  <c r="U85" i="1"/>
  <c r="S84" i="1"/>
  <c r="U84" i="1"/>
  <c r="U58" i="1"/>
  <c r="S58" i="1"/>
  <c r="S82" i="1"/>
  <c r="U82" i="1"/>
  <c r="U124" i="1"/>
  <c r="U123" i="1"/>
  <c r="S123" i="1"/>
  <c r="U122" i="1"/>
  <c r="S122" i="1"/>
  <c r="U81" i="1"/>
  <c r="S81" i="1"/>
  <c r="U80" i="1"/>
  <c r="S80" i="1"/>
  <c r="S79" i="1"/>
  <c r="U79" i="1"/>
  <c r="S86" i="1"/>
  <c r="U86" i="1"/>
  <c r="U75" i="1" l="1"/>
  <c r="S75" i="1"/>
  <c r="U83" i="1"/>
  <c r="S83" i="1"/>
  <c r="U121" i="1" l="1"/>
  <c r="S121" i="1"/>
  <c r="U120" i="1"/>
  <c r="U78" i="1"/>
  <c r="S78" i="1"/>
  <c r="S77" i="1"/>
  <c r="U77" i="1"/>
  <c r="S43" i="1"/>
  <c r="S76" i="1"/>
  <c r="U76" i="1"/>
  <c r="U41" i="1"/>
  <c r="S41" i="1"/>
  <c r="S74" i="1"/>
  <c r="U74" i="1"/>
  <c r="U115" i="1"/>
  <c r="S115" i="1"/>
  <c r="P72" i="1"/>
  <c r="U39" i="1"/>
  <c r="S39" i="1"/>
  <c r="S73" i="1"/>
  <c r="U73" i="1"/>
  <c r="U40" i="1"/>
  <c r="S40" i="1"/>
  <c r="S71" i="1"/>
  <c r="U71" i="1"/>
  <c r="S70" i="1"/>
  <c r="U70" i="1"/>
  <c r="S119" i="1"/>
  <c r="U119" i="1"/>
  <c r="S118" i="1"/>
  <c r="U118" i="1"/>
  <c r="S117" i="1"/>
  <c r="U117" i="1"/>
  <c r="P60" i="1"/>
  <c r="P50" i="1" l="1"/>
  <c r="P14" i="1"/>
  <c r="P64" i="1"/>
  <c r="S64" i="1" l="1"/>
  <c r="U64" i="1"/>
  <c r="S69" i="1"/>
  <c r="U69" i="1"/>
  <c r="S68" i="1"/>
  <c r="U68" i="1"/>
  <c r="S67" i="1"/>
  <c r="U67" i="1"/>
  <c r="S66" i="1"/>
  <c r="U66" i="1"/>
  <c r="S65" i="1"/>
  <c r="U65" i="1"/>
  <c r="U51" i="1"/>
  <c r="S51" i="1"/>
  <c r="P27" i="1"/>
  <c r="P23" i="1"/>
  <c r="P5" i="1"/>
  <c r="P11" i="1"/>
  <c r="U34" i="1"/>
  <c r="S34" i="1"/>
  <c r="U33" i="1"/>
  <c r="S33" i="1"/>
  <c r="U32" i="1"/>
  <c r="S32" i="1"/>
  <c r="P49" i="1"/>
  <c r="P9" i="1"/>
  <c r="P7" i="1"/>
  <c r="P2" i="1"/>
  <c r="P21" i="1"/>
  <c r="P16" i="1"/>
  <c r="P20" i="1"/>
  <c r="U2" i="1"/>
  <c r="U3" i="1"/>
  <c r="U4" i="1"/>
  <c r="U5" i="1"/>
  <c r="U6" i="1"/>
  <c r="U88" i="1"/>
  <c r="U7" i="1"/>
  <c r="U8" i="1"/>
  <c r="U9" i="1"/>
  <c r="U10" i="1"/>
  <c r="U11" i="1"/>
  <c r="U12" i="1"/>
  <c r="U13" i="1"/>
  <c r="U14" i="1"/>
  <c r="U15" i="1"/>
  <c r="U16" i="1"/>
  <c r="U17" i="1"/>
  <c r="U18" i="1"/>
  <c r="U19" i="1"/>
  <c r="U20" i="1"/>
  <c r="U21" i="1"/>
  <c r="U22" i="1"/>
  <c r="U23" i="1"/>
  <c r="U24" i="1"/>
  <c r="U25" i="1"/>
  <c r="U26" i="1"/>
  <c r="U27" i="1"/>
  <c r="U28" i="1"/>
  <c r="U29" i="1"/>
  <c r="U30" i="1"/>
  <c r="U35" i="1"/>
  <c r="U36" i="1"/>
  <c r="U37" i="1"/>
  <c r="U38" i="1"/>
  <c r="U42" i="1"/>
  <c r="U45" i="1"/>
  <c r="U46" i="1"/>
  <c r="U47" i="1"/>
  <c r="U48" i="1"/>
  <c r="U49" i="1"/>
  <c r="U50" i="1"/>
  <c r="U52" i="1"/>
  <c r="U53" i="1"/>
  <c r="U54" i="1"/>
  <c r="U55" i="1"/>
  <c r="U56" i="1"/>
  <c r="U57" i="1"/>
  <c r="U59" i="1"/>
  <c r="U60" i="1"/>
  <c r="U61" i="1"/>
  <c r="U62" i="1"/>
  <c r="U63" i="1"/>
  <c r="U87" i="1"/>
  <c r="U89" i="1"/>
  <c r="U93" i="1"/>
  <c r="U90" i="1"/>
  <c r="U91" i="1"/>
  <c r="U92" i="1"/>
  <c r="U99" i="1"/>
  <c r="U94" i="1"/>
  <c r="U95" i="1"/>
  <c r="U100" i="1"/>
  <c r="U96" i="1"/>
  <c r="U97" i="1"/>
  <c r="U98" i="1"/>
  <c r="U110" i="1"/>
  <c r="U101" i="1"/>
  <c r="U111" i="1"/>
  <c r="U102" i="1"/>
  <c r="U103" i="1"/>
  <c r="U104" i="1"/>
  <c r="U105" i="1"/>
  <c r="U106" i="1"/>
  <c r="U107" i="1"/>
  <c r="U108" i="1"/>
  <c r="U109" i="1"/>
  <c r="U112" i="1"/>
  <c r="U113" i="1"/>
  <c r="U114" i="1"/>
  <c r="U116" i="1"/>
  <c r="S48" i="1"/>
  <c r="S47" i="1"/>
  <c r="S3" i="1"/>
  <c r="S2" i="1"/>
  <c r="S6" i="1"/>
  <c r="S88" i="1"/>
  <c r="S7" i="1"/>
  <c r="S8" i="1"/>
  <c r="S9" i="1"/>
  <c r="S10" i="1"/>
  <c r="S11" i="1"/>
  <c r="S12" i="1"/>
  <c r="S13" i="1"/>
  <c r="S14" i="1"/>
  <c r="S15" i="1"/>
  <c r="S16" i="1"/>
  <c r="S17" i="1"/>
  <c r="S18" i="1"/>
  <c r="S19" i="1"/>
  <c r="S20" i="1"/>
  <c r="S21" i="1"/>
  <c r="S22" i="1"/>
  <c r="S23" i="1"/>
  <c r="S24" i="1"/>
  <c r="S25" i="1"/>
  <c r="S26" i="1"/>
  <c r="S27" i="1"/>
  <c r="S28" i="1"/>
  <c r="S29" i="1"/>
  <c r="S30" i="1"/>
  <c r="S35" i="1"/>
  <c r="S36" i="1"/>
  <c r="S37" i="1"/>
  <c r="S38" i="1"/>
  <c r="S42" i="1"/>
  <c r="S45" i="1"/>
  <c r="S46" i="1"/>
  <c r="S49" i="1"/>
  <c r="S50" i="1"/>
  <c r="S52" i="1"/>
  <c r="S53" i="1"/>
  <c r="S54" i="1"/>
  <c r="S55" i="1"/>
  <c r="S56" i="1"/>
  <c r="S57" i="1"/>
  <c r="S59" i="1"/>
  <c r="S60" i="1"/>
  <c r="S61" i="1"/>
  <c r="S62" i="1"/>
  <c r="S63" i="1"/>
  <c r="S87" i="1"/>
  <c r="S89" i="1"/>
  <c r="S93" i="1"/>
  <c r="S90" i="1"/>
  <c r="S91" i="1"/>
  <c r="S92" i="1"/>
  <c r="S99" i="1"/>
  <c r="S94" i="1"/>
  <c r="S95" i="1"/>
  <c r="S100" i="1"/>
  <c r="S96" i="1"/>
  <c r="S97" i="1"/>
  <c r="S98" i="1"/>
  <c r="S110" i="1"/>
  <c r="S101" i="1"/>
  <c r="S111" i="1"/>
  <c r="S102" i="1"/>
  <c r="S103" i="1"/>
  <c r="S104" i="1"/>
  <c r="S105" i="1"/>
  <c r="S106" i="1"/>
  <c r="S107" i="1"/>
  <c r="S108" i="1"/>
  <c r="S109" i="1"/>
  <c r="S112" i="1"/>
  <c r="S113" i="1"/>
  <c r="S114" i="1"/>
  <c r="S116" i="1"/>
  <c r="S5" i="1"/>
  <c r="S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tc={79C23DB7-BE37-492D-B8DD-95FEBB823475}</author>
    <author>tc={5009CCAB-4945-424D-9EB6-49085B76375B}</author>
  </authors>
  <commentList>
    <comment ref="K11" authorId="0" shapeId="0" xr:uid="{79C23DB7-BE37-492D-B8DD-95FEBB823475}">
      <text>
        <t>[Threaded comment]
Your version of Excel allows you to read this threaded comment; however, any edits to it will get removed if the file is opened in a newer version of Excel. Learn more: https://go.microsoft.com/fwlink/?linkid=870924
Comment:
    aligning with Mahakam Project</t>
      </text>
    </comment>
    <comment ref="I12" authorId="1" shapeId="0" xr:uid="{5009CCAB-4945-424D-9EB6-49085B76375B}">
      <text>
        <t>[Threaded comment]
Your version of Excel allows you to read this threaded comment; however, any edits to it will get removed if the file is opened in a newer version of Excel. Learn more: https://go.microsoft.com/fwlink/?linkid=870924
Comment:
    H2</t>
      </text>
    </comment>
  </commentList>
</comments>
</file>

<file path=xl/sharedStrings.xml><?xml version="1.0" encoding="utf-8"?>
<sst xmlns="http://schemas.openxmlformats.org/spreadsheetml/2006/main" count="2221" uniqueCount="799">
  <si>
    <t>No</t>
  </si>
  <si>
    <t>Category</t>
  </si>
  <si>
    <t>Task / Project</t>
  </si>
  <si>
    <t>Code</t>
  </si>
  <si>
    <t>Project Name</t>
  </si>
  <si>
    <t>Project Lead</t>
  </si>
  <si>
    <t>Team Collaboration</t>
  </si>
  <si>
    <t>Progress</t>
  </si>
  <si>
    <t>Target Date</t>
  </si>
  <si>
    <t>Start Date</t>
  </si>
  <si>
    <t>End Date</t>
  </si>
  <si>
    <t>Status</t>
  </si>
  <si>
    <t>History Work Accomplishment</t>
  </si>
  <si>
    <t>Plan Activities (Weekly)</t>
  </si>
  <si>
    <t>Issue (Risk)</t>
  </si>
  <si>
    <t>Delay</t>
  </si>
  <si>
    <t>User</t>
  </si>
  <si>
    <t>Folder Link</t>
  </si>
  <si>
    <t>Lead Email</t>
  </si>
  <si>
    <t>Collaboration Team Email</t>
  </si>
  <si>
    <t>Count Project by Name</t>
  </si>
  <si>
    <t>Column22</t>
  </si>
  <si>
    <t>Column21</t>
  </si>
  <si>
    <t>Category2</t>
  </si>
  <si>
    <t>NEED 3rd PARTY (Admin)</t>
  </si>
  <si>
    <t>PLAN START</t>
  </si>
  <si>
    <t>PLAN END</t>
  </si>
  <si>
    <t>PLAN DATE</t>
  </si>
  <si>
    <t>Effectiv Year</t>
  </si>
  <si>
    <t>Management System</t>
  </si>
  <si>
    <t xml:space="preserve">ITM Integrated Management System (TIMES) Establishment -Site Level </t>
  </si>
  <si>
    <t>MS 1.1</t>
  </si>
  <si>
    <t>TIMES QMS Deployment - Melak Cluster (Establishment)</t>
  </si>
  <si>
    <t>ALR</t>
  </si>
  <si>
    <t>ARS, RRP</t>
  </si>
  <si>
    <t>Hold</t>
  </si>
  <si>
    <t>1. Already conducted Stage 1 (BP Workshop)
2. Already conducted Stage 2 (MS Workshop)
3. Already conducted review and alignment for the BP Design
4. Already coordinate and remind target with DSPM - for operational basis in SOP development
5. Already conducted further discussion regarding Coal Processing process - align with IBU
6. Already conducted socialization agenda to All TCM-BEK related stakeholders regarding BP Level 0 Mapping
7. Already continued the project by giving the TCM &amp; BEK BP to Consultant Team
8. Already ensure and monitor the implementation of MELAK BP Development by Consultant Team</t>
  </si>
  <si>
    <t xml:space="preserve">
1. Ensure the socialization of the final deliverables of MELAK BP to all MELAK respective stakeholders
2. Implement the next phase of Governance development</t>
  </si>
  <si>
    <t>N/A</t>
  </si>
  <si>
    <t>MS 1.2</t>
  </si>
  <si>
    <t>TIMES QMS Deployment - JBG (Establishment)</t>
  </si>
  <si>
    <t>RRP</t>
  </si>
  <si>
    <t>ALR, DHI</t>
  </si>
  <si>
    <t>H1-H2</t>
  </si>
  <si>
    <t>Open</t>
  </si>
  <si>
    <t>Need confirmation with JBG</t>
  </si>
  <si>
    <t>MS 1.3</t>
  </si>
  <si>
    <t>TIMES QMS  - TRUST (Establishment)</t>
  </si>
  <si>
    <t>ARS</t>
  </si>
  <si>
    <t>ALR, DHI, RRP</t>
  </si>
  <si>
    <t>Q3-H2</t>
  </si>
  <si>
    <t>Still waiting key deliverables of Katulistiwa Project</t>
  </si>
  <si>
    <t xml:space="preserve">ITM Integrated Management System (TIMES) Element/Standard Deployment </t>
  </si>
  <si>
    <t>MS 2.1</t>
  </si>
  <si>
    <t>Strategy &amp; Performance Management</t>
  </si>
  <si>
    <t>Completed</t>
  </si>
  <si>
    <t>1. Already identified the requirements for the Management Standards
2. Already drafted for the Management Standard
3. Already Followed-up the 1st review result from PO
4. Conduct 2nd review from MSBP Head
5. Conduct 3rd review from ERSM Head
6. Conduct Alignment Meeting with related stakeholders in Subsidiaries
7. Finetune the Management Standard Document</t>
  </si>
  <si>
    <t>1. Conduct the approval for the MS Documents</t>
  </si>
  <si>
    <t>MS 2.2</t>
  </si>
  <si>
    <t>TIMES QAR/Auditing Management</t>
  </si>
  <si>
    <t>Q2-H1</t>
  </si>
  <si>
    <t>1. Already reviewed MS Auditing Management that already updated by Excellence Team to be MS Assurance Management System
2. Already communicate Detail Context of Management Standard to DSPM/SPM/MS &amp; HSEC/CD all sites on 7 May 2025</t>
  </si>
  <si>
    <t>1. Communicate Management Standard to Site Management and Function Head Related all sites
2. Getting approval MS Document</t>
  </si>
  <si>
    <t>MS 2.4</t>
  </si>
  <si>
    <t>ESG</t>
  </si>
  <si>
    <t>ASN, RRP</t>
  </si>
  <si>
    <t>1. Already showed to SD regarding ESG ownership mapping to the Business Process
2. Already reviewed the mapping result
3. Already conducted the Kick-Off Meeting
4. Already explained to SD PO regarding TIMES
5. Identify the ESG Priority (Requirement to be set-up for the governance pointing to BP) in 2025
6. Already developed the ESG requirements based on ESG Topics
7. Already reviewed all ESG Requirements based on ESG Sub Topics
8. Already mapped the priority requirement to the Business Process (as the ownership)
9. Already set up the roadmap
10. Finetuning communication materials 
11. Plan the Communication Strategy</t>
  </si>
  <si>
    <t>1. Present the Roadmap to the related stakeholders
2. Finetuning the review results for the roadmap
3. Present the roadmap and initiative for the 2nd Phase</t>
  </si>
  <si>
    <t>MS 2.5</t>
  </si>
  <si>
    <t>Security Management (ITM + SITES)</t>
  </si>
  <si>
    <t>DHI</t>
  </si>
  <si>
    <t xml:space="preserve">Policy and Management Standard still on review by MSBP Head </t>
  </si>
  <si>
    <t xml:space="preserve">To align SOP on ITM Level with Site level </t>
  </si>
  <si>
    <t>MS 2.6</t>
  </si>
  <si>
    <t>Management Review (MR)</t>
  </si>
  <si>
    <t>1. Already developed the Management Standard (MR)</t>
  </si>
  <si>
    <t>1. Conduct communication and alignment meeting with Counterpart
2. Finetune and Approval</t>
  </si>
  <si>
    <t>MS 2.7</t>
  </si>
  <si>
    <t>Community Development</t>
  </si>
  <si>
    <t>MS 2.8</t>
  </si>
  <si>
    <t>Procurement/SCM</t>
  </si>
  <si>
    <t>1. Already confirmed the project objective and scope
2. Aleady identified the requirements for Procedure Development
3. Already draft the Management Standard Documents
4. Already developed other requirements for Management Standard (collaborate with PO)
5. Alignment with Mahakam Leading Practice
6. Conduct alignment with Legal regarding contract
7. Done for final review and finalization of Management Standard</t>
  </si>
  <si>
    <t xml:space="preserve">
1. Conduct sircular approval of documents</t>
  </si>
  <si>
    <t>MS 2.9</t>
  </si>
  <si>
    <t>Change Management</t>
  </si>
  <si>
    <t>ASN</t>
  </si>
  <si>
    <t>ITM Integrated Management System (TIMES) Element/Standard Deployment</t>
  </si>
  <si>
    <t>Information Technology</t>
  </si>
  <si>
    <t>Waiting IT organization establishment</t>
  </si>
  <si>
    <t>MS 3</t>
  </si>
  <si>
    <t>Management System Communication</t>
  </si>
  <si>
    <t>ARS, RRP, DHI</t>
  </si>
  <si>
    <t>1. Already drafted for the MOTION Agenda
2. Aleady conducted discussion with peers regarding draft of MOTION Agenda
3. Already informed the Motion Plan Series update to MSBP Head
4. Already send the 3rd Motion Series</t>
  </si>
  <si>
    <t>1. Implement for regular motion agenda</t>
  </si>
  <si>
    <t>MS 4</t>
  </si>
  <si>
    <t>ITM Business Process Highlevel and its implementation</t>
  </si>
  <si>
    <t>ALR, ARS, RRP, DHI</t>
  </si>
  <si>
    <t xml:space="preserve">Actual project completion (80%) is calculated as of April 29th, 2025.
- Most project activities in the tenth week have been focused on Conducting workshops, Gathering additional inputs and data, Discussed with workshop 
- All workshops are currently in completed
- The current progressing tasks include target operating model design (70%).
- Follow-up for Final Outcomes and preparation SteerCo and Sponsor Meeting. 
</t>
  </si>
  <si>
    <r>
      <rPr>
        <sz val="8"/>
        <color rgb="FF000000"/>
        <rFont val="Arial"/>
        <family val="2"/>
      </rPr>
      <t xml:space="preserve">BP-Organization Alignment and QMS as aggreed planned </t>
    </r>
    <r>
      <rPr>
        <sz val="8"/>
        <color rgb="FF0070C0"/>
        <rFont val="Arial"/>
        <family val="2"/>
      </rPr>
      <t xml:space="preserve">(based on the poin 4) </t>
    </r>
  </si>
  <si>
    <t>MS 5.1</t>
  </si>
  <si>
    <t>Finance &amp; Accounting</t>
  </si>
  <si>
    <t>1. Already developed BP L2-3 FA
2. Already developed Detail Flow Process + RASCI
3. Already reviewed BP &amp; Flow Process by Process Owner
4. Already conducted BP review with Finance Director
5. Already designed the propose Organization Structure (with HR)
6. Already sent Project Closing + Deliverables to related stakeholders</t>
  </si>
  <si>
    <t>1. Conduct Approval on BP Design (Waiting HRMC Results)</t>
  </si>
  <si>
    <r>
      <t xml:space="preserve">BP-Organization Alignment and QMS as aggreed planned </t>
    </r>
    <r>
      <rPr>
        <sz val="8"/>
        <color rgb="FF0070C0"/>
        <rFont val="Arial"/>
        <family val="2"/>
      </rPr>
      <t xml:space="preserve">(based on the poin 4) </t>
    </r>
  </si>
  <si>
    <t>MS 5.2</t>
  </si>
  <si>
    <t>JBG Pre-Closure and MineClosure</t>
  </si>
  <si>
    <t>Q1-H1</t>
  </si>
  <si>
    <t>1. Already develop BP Level 0,1,2 Pre Closure and Mine Closure Version in Visio Format
2. Organization Structure Process by HR</t>
  </si>
  <si>
    <t>MS 5.3</t>
  </si>
  <si>
    <t>ITM Campus</t>
  </si>
  <si>
    <t>Need confirmation with HR (Aligned with Khatulistiwa)</t>
  </si>
  <si>
    <t>MS 5.4</t>
  </si>
  <si>
    <t>Corporate Secretary and Legal</t>
  </si>
  <si>
    <t>1. Already develop BP Level 1,2, Flow Process Detail, and RASCI Summary for Corsec and Legal
2. Already sent the BP document to HR and Corsec Legal team
3. Already joined Kick Off Meeting with Korn Ferry and team
4. Support KF Team regarding some concern related BP and RASCI 
5. Sharing how to develop BP and Flow Process based on ITM Standard to KF Team
6. Prepare BP analyze and reccomendation for Record Management
7. Facilitate process owner to review BP and Flow Process to decide using KF version or ITM version
8. Monitor and tracking progress of BP and Flow Process completion that delivered by KF
9. Facilitate process owner to review BP outstanding (Litigation, IPR, Record Management)
10. Confirmation to PO for reviewing update BP from KF</t>
  </si>
  <si>
    <t>MS 5.5</t>
  </si>
  <si>
    <t>-already develop operating model
- already develop BP LVL 1 IT Division
- Already develop BP LVL 2 DATA &amp; AI
- Already develop BP LVL 2 Governance &amp; Assurance
- Already develop BP LVL 2 Strategy &amp; Architect
- Already Develop BP LVL 2 Service &amp; Infra
- Already Develop BP LVL 2 IT Development &amp; Implementation</t>
  </si>
  <si>
    <t>BP Approval Process</t>
  </si>
  <si>
    <t>MS 5.6</t>
  </si>
  <si>
    <t>MSBP</t>
  </si>
  <si>
    <t>ARS, RRP, DHI, RSW, BEY</t>
  </si>
  <si>
    <t>1. Already developed BP L2-3 MS, BP, CM, CI
2. Already developed Detail Flow Process + RASCI
3. Already identified the required governance
4. Already drafted for several SOP related MS, BP, CM, CI
5. Already conducted discussion with MSBP Head regarding project timeline and scope
6. Already completed for MS SOP</t>
  </si>
  <si>
    <t>1. Continue Review Serial SOP of MSBP
2. Monitor for CI Governance development
3. Continue develop for MS Document in Management System Area</t>
  </si>
  <si>
    <t>MS 5.7</t>
  </si>
  <si>
    <t>Coal Sales &amp; Trading</t>
  </si>
  <si>
    <t>1. Drafting Project Charter
2. Conduct Kick Off Meeting on 24 July 2025
3. Review Current Business Process for Domestic Sales, SCQM, Sales Logistic Services, and Coal Trading
4. Develop CST Business Process Level 1-3
5. Conduct internal alignment meeting
6. Send update progress report
7. Wrap up summary and reccomendation</t>
  </si>
  <si>
    <t>MS 5.8</t>
  </si>
  <si>
    <t>Melak Cluster Enhancement</t>
  </si>
  <si>
    <t xml:space="preserve">
1. Need to Finalize the ITM High Level Business Process 
2. Ensure the socialization of the final deliverables of MELAK BP to all MELAK respective stakeholders
3. Implement the next phase of Governance development</t>
  </si>
  <si>
    <t>MS 5.9</t>
  </si>
  <si>
    <t>IEU</t>
  </si>
  <si>
    <t>TRUST (BP &amp; Organization)</t>
  </si>
  <si>
    <t>Waiting for ITM &amp; Melak Operating Model and Business Process Enhancement</t>
  </si>
  <si>
    <t>MS 5.11</t>
  </si>
  <si>
    <t>Port Organization (New Business)/IBU</t>
  </si>
  <si>
    <t>Q4-H2</t>
  </si>
  <si>
    <t>1. BP Lvl 0 IBU &amp; Logistic has developed
2. BP Lvl 1-2 IBU &amp; Logistic has developed
3. BP Lvl 3 IBU &amp; Logistic 85% developed
4. Waiting for IBU &amp; Logistic business structure (Sub Holding)</t>
  </si>
  <si>
    <t>Still waiting key deliverables of Katulistiwa Project, prepare DOA Identification Matrix for Interim and Operational, Confirmation DOA from Coal Trading for Quaotation to customer</t>
  </si>
  <si>
    <t>MS 5.13</t>
  </si>
  <si>
    <t>1. Already confirmed the project objective and scope
2. Conduct Kick-Off Meeting 
3. Finalized SIPOC Table
4. Developed FSP BP, Identify PPI
5. Already develop Flow Process + RASCI (18/18)
6. Identified the requirements for Procedure Development
7. Already developed Procedure and Derivative (SOP)*
8. Review and Finalization of Procedure</t>
  </si>
  <si>
    <t>MS 5.14</t>
  </si>
  <si>
    <t>Community Development (Process &amp; System)</t>
  </si>
  <si>
    <t>MS 5.16</t>
  </si>
  <si>
    <t>IBO Enhancement</t>
  </si>
  <si>
    <t xml:space="preserve"> Q2-H1</t>
  </si>
  <si>
    <t>- Conduct follow up discussion
- Share project overvier template
- Encourage to provide Business Canvas Model as Strategic Context PT IBO</t>
  </si>
  <si>
    <t>MS 5.17</t>
  </si>
  <si>
    <t>SCM Project (Mahakam Project)</t>
  </si>
  <si>
    <t>ALR, RRP, DHI</t>
  </si>
  <si>
    <t>Workshop Offline To-Be Process Aligned with all PO already conducted at IBO</t>
  </si>
  <si>
    <t>Develop standard procedure for SCM process</t>
  </si>
  <si>
    <t>SCM Project (as Transformation Team)</t>
  </si>
  <si>
    <t>1. Already confirmed the project objective and scope
2. Conduct Kick-Off Meeting 
3. Identified the requirements for Procedure Development
4. Already developed Procedure and Derivative (SOP)*
5. Review and Finalization of Procedure</t>
  </si>
  <si>
    <t>MS 5.18</t>
  </si>
  <si>
    <t>OS - Q P B Plan &amp; Revision (MS &amp; SOP)</t>
  </si>
  <si>
    <t>1. SOP for QPB revision already developed
2. SOP for QBP Actual already drafted</t>
  </si>
  <si>
    <t>Develop Management Standard for QPB Process</t>
  </si>
  <si>
    <t>MS 5.19</t>
  </si>
  <si>
    <t>Contractor Management &amp; Engineering Enhancement (BP)</t>
  </si>
  <si>
    <t>1. BP Lvl 1-2 CMEE has developed
2. BP Lvl 3 (detail flow) has developed
3. SP for Contractor Type has developed</t>
  </si>
  <si>
    <t>MS 5.20</t>
  </si>
  <si>
    <t>ITMP Phase 3</t>
  </si>
  <si>
    <r>
      <t xml:space="preserve">Facilitating Digital Project on Standardization/Formalization </t>
    </r>
    <r>
      <rPr>
        <sz val="8"/>
        <color rgb="FF0070C0"/>
        <rFont val="Arial"/>
        <family val="2"/>
      </rPr>
      <t xml:space="preserve">(Aligned with Digital Initiatives) </t>
    </r>
    <r>
      <rPr>
        <sz val="8"/>
        <rFont val="Arial"/>
        <family val="2"/>
      </rPr>
      <t>as collaborated with Innovation Team</t>
    </r>
  </si>
  <si>
    <t>MS 6.1</t>
  </si>
  <si>
    <t>Invoice Management System</t>
  </si>
  <si>
    <t>BEY</t>
  </si>
  <si>
    <r>
      <rPr>
        <sz val="8"/>
        <color rgb="FF000000"/>
        <rFont val="Arial"/>
        <family val="2"/>
      </rPr>
      <t xml:space="preserve">Facilitating Digital Project on Standardization/Formalization </t>
    </r>
    <r>
      <rPr>
        <sz val="8"/>
        <color rgb="FF0070C0"/>
        <rFont val="Arial"/>
        <family val="2"/>
      </rPr>
      <t xml:space="preserve">(Aligned with Digital Initiatives) </t>
    </r>
    <r>
      <rPr>
        <sz val="8"/>
        <color rgb="FF000000"/>
        <rFont val="Arial"/>
        <family val="2"/>
      </rPr>
      <t>as collaborated with Innovation Team</t>
    </r>
  </si>
  <si>
    <t>MS 6.2</t>
  </si>
  <si>
    <t>Melak Integrated Mine Planning</t>
  </si>
  <si>
    <t>AFZ</t>
  </si>
  <si>
    <t>1. Already draft BP as Khatulistiwa Project Result
2. Clarify and Validate BP LOMP &amp; 5YRP
3. Clarify and Validate BP Annual Planning
4. Clarify and Validate BP 3MRP &amp; Monthly Planning
5. Done for Alignment with OS, MED, ERSM, HSEC, CBIC
6. Done for RASCI Development</t>
  </si>
  <si>
    <t>1. Confirm the RASCI and OD with HR</t>
  </si>
  <si>
    <t>MS 6.3</t>
  </si>
  <si>
    <t>SSO – Blending Optimization</t>
  </si>
  <si>
    <t>ALR, RSW</t>
  </si>
  <si>
    <t>Already set up role play and alignment with all stakeholders for SOP SSO</t>
  </si>
  <si>
    <t xml:space="preserve">To revise and finalize SOP SSO according to role play result </t>
  </si>
  <si>
    <t>MS 6.5</t>
  </si>
  <si>
    <t>Data Governance (3 Project)
- Master Data (OS Project)
- Coal Inventory
- ITM Data Governance for OS Project</t>
  </si>
  <si>
    <t>-Build WBS for the rest of project
-Study the data governance document
- Get the details of activity WBS for MSBP task
-Already develop project charter
-'-As-Is process analysis &amp; Gap Analysis
'Doing sprint implement for all project
- Master Data (OS Project)
- Coal Inventory
- ITM Data Governance for OS Project
POC Activity for truck scale project</t>
  </si>
  <si>
    <t>-Approval document ITM (Fully Approved) &amp; BEK
-Adoption Process (Training, Communication, Utilization for TS)</t>
  </si>
  <si>
    <t>MS 6.6</t>
  </si>
  <si>
    <t>Tug Management System Standardization</t>
  </si>
  <si>
    <t>-Already initial meeting with SC team
'-Detail meeting to get details target
-Details deliverables project for prodedure (TMS Charter)
-Already build 5 Business Process flow based on system analysis.
-- Need to clarify &amp; Discuss with PO to get the final business process flow
-Build SOP for new process flow (6 SOP + 2 WI)</t>
  </si>
  <si>
    <t>- Continue the activity with pak chrisna weekly
SOP
Barge Operation Compliance -&gt; Review Pak Chrisna
STS Transhipment -&gt; Review pak Chrisna
WI:
Shipper Representative -&gt; Approval
Guideline
TMS -&gt; Tug &amp; Boat owner &amp; Master (By Manual book)</t>
  </si>
  <si>
    <t>MS 6.7</t>
  </si>
  <si>
    <t>Data Management for ITM Group Level</t>
  </si>
  <si>
    <t>-Meeting with all stakeholder to get the insight
-Build framework to guide the development
-Analyze DAMA Box to standardize the system
-Already build framework go build MS
- Build WBS for detailed project
- Build project charter (finalized)
-'-Development MS ('- Build MS with process owner 2x/week) 8%
- Policy Review</t>
  </si>
  <si>
    <t>-Final review with process owner (pak Amang &amp; pak Muhardian)
-Meet with HR &amp; MSBP to build change culture klausul (reschedule)**</t>
  </si>
  <si>
    <t>MS 6.8</t>
  </si>
  <si>
    <t>Barge Logistic Management System (BLMS) Standardization</t>
  </si>
  <si>
    <t>-Meeting with all stakeholder to get the insight
-Build framework to guide the development
-Already build Analysis process flow (01)
'-Update new flow integration with TMS &amp; blms  (Already meeting with pak Eka &amp; Putra) - 
-Update flow process on planning area integrated with barge optimizer &amp; SSO application (Already meeting with pak Eka &amp; Putra) -Still on progress for finalization</t>
  </si>
  <si>
    <t>Guideline
BLMS -&gt; All User</t>
  </si>
  <si>
    <t xml:space="preserve">MSBP System Enhancement </t>
  </si>
  <si>
    <t>MS 7.1</t>
  </si>
  <si>
    <t>TIMES CEPAT - IRS</t>
  </si>
  <si>
    <t>ALR, AFZ</t>
  </si>
  <si>
    <t>STAGE 1: TIMES CEPAT IRS
1. Prepare TIMES CEPAT sketch and requirement
2. Develop UI/UX
3. Conduct backlog grooming for Sprint 1 &amp; 2
4. Kick off TIMES CEPAT on 26 February 2025
5. Sprint 1 Planning, Review, Retrospective
6. Sprint 2 Planning &amp; finalization requirement for sprint 3. Review, Retrospective
7. Backlog Grooming before sprint planning
8. Detailing business value levers
9. . Sprint 3 Planning, Review, Retrospective
10. Sprint 4 Planning and development</t>
  </si>
  <si>
    <t>1. Continue testing
2. Bug fixing
3. Prepare user manual
4. User Training
5. Go Live Communication</t>
  </si>
  <si>
    <t>TIMES CEPAT - TIMES QAR</t>
  </si>
  <si>
    <t>1. Prepare TIMES QAR Sketch &amp; Requirement
2. Develop UI/UX TIMES QAR: Assurance Program &amp; Assurance Plan (final)
3. Develop UI/UX TIMES QAR: Assurance Checklist (Self Assurance, Live Assurance, List of Finding)
4. Develop UI/UX TIMES QAR: Dashboard (All Subsidiary and Subsidiaries)
5. Develop UI/UX TIMES QAR: Detail NCR, Follow Up Action Plan &amp; Result
6. Develop UI/UX TIMES CEPAT Setting: Reference Management
7. Develop UI/UX TIMES QAR Setting: Bank Checklist
8. Develop UI/UX TIMES QAR Setting: Assurance Program Table
10. Conduct weekly backlog grooming start from 5 May 2025
11. Conduct Pre Kick Off Meeting - Stage 2 TIMES CEPAT - TIMES QAR Development Project
12. Sprint 1-6 Planning, Development, Review, Retrospective</t>
  </si>
  <si>
    <t>Continue UAT,
Prepare all setting (bank checklist, reference management, assurance program table, user management)</t>
  </si>
  <si>
    <t>TIMES CEPAT - NCR (STAGE 3)</t>
  </si>
  <si>
    <t>1. Initial discussion regarding plan for stage 3 preparation
2. Conduct discussion with Project Sponsor to getting advice and endorsement
3. Prepare worksheet and confirmation schedule with site
4. Conduct getting feedback session with all sites</t>
  </si>
  <si>
    <t>Prepare requirement based on site user feedback,
Prepare requirement for additional NCR source (asset risk survey)</t>
  </si>
  <si>
    <t>Due to budget &amp; technical resources will be allocated to SMKP Development, so we need to hold technical development NCR Enhancement in 2025.</t>
  </si>
  <si>
    <t>MS 7.2</t>
  </si>
  <si>
    <t>STONE/Document Repository Enhancement</t>
  </si>
  <si>
    <t>- Already meeting with IT div (Agung &amp; Team) to get insight
-'- Build WBS to get details of STONES details actiity
- Allignment corsec legal (Record Management System)
-List function head &amp; email to get DCR pic
'-Build details flow requirement with technical information to get insight from IT Team
**Document action request flow
**Approval flow
Document perapihan -&gt; Q3
Stones study melak for IT -&gt; W3
W3 July -&gt; Meet dengan IT solution from ITM stones
'-Build matrix approval for all site
- tune up requirement related to AI</t>
  </si>
  <si>
    <t>-Build new requirement for 2026 project
-Already build Draft_01 user Interface/Experience
-Continue buld UI/UX based on feedback team
MID December FInal Requirement to IT
2x meet weekly</t>
  </si>
  <si>
    <t>MS 7.3</t>
  </si>
  <si>
    <t>ITM LEAP (ITM Lean Effective Activity Process)</t>
  </si>
  <si>
    <t>DHI, ALR</t>
  </si>
  <si>
    <t>Already develop draft of prototype for LEAP on Microsoft 365</t>
  </si>
  <si>
    <t>Continue develop LEAP prototype, Waiting for Khatulistiwa Project</t>
  </si>
  <si>
    <t>MS 7.4</t>
  </si>
  <si>
    <t>MSBP Project Consolidation</t>
  </si>
  <si>
    <t>- Already build POC product of project tracker
- Already develop database modeling
- Already develop power BI dashboard
- Already develop automate email
- Already publish database, powerbi &amp; power automate to production server</t>
  </si>
  <si>
    <t>Already develop all requirment on last meeting</t>
  </si>
  <si>
    <t>MS 7.5</t>
  </si>
  <si>
    <t>CS Dashboard</t>
  </si>
  <si>
    <t>- Already build POC product of CS Dashboard
- Already develop database modeling
- Already develop power BI dashboard
- Already publish database, powerbi &amp; power automate to production server
'- ReCheck database (KPI Items)
- ReCheck Target on every KPI Items
- Update details dashboard calculation &amp; agregt
- Final UAT all tools
- Publish on prod server
-'UAT with all user (Input data)</t>
  </si>
  <si>
    <t>-Waiting user input the data (CS Function Head)</t>
  </si>
  <si>
    <t xml:space="preserve">Management System and Facilitation </t>
  </si>
  <si>
    <t>MS 8.1</t>
  </si>
  <si>
    <t>Facilitating on ISO 20000</t>
  </si>
  <si>
    <t>1. Already conducted for the Stage 1 (Facilitating the requirements fulfillment, internal audit, follow-up CAR Status)
2. Already conducted for the Stage 2 (Be Auditee for the external auditor event)
3. Already coordinated with IT Team for the next to do activities in ISO 20000</t>
  </si>
  <si>
    <t>1. Develop COE for Serial ISO 20000 preparation and Internal Audit
2. Communicate and review to respective stakeholders
3. State the Commitment</t>
  </si>
  <si>
    <t>MS 8.2</t>
  </si>
  <si>
    <t>Internal Audit and MR for ISO 27001 and Upgrade</t>
  </si>
  <si>
    <t>1. Already gather the information from IT Team
2. Already developed the activity Plan
3. Already support any documents for Gap Analysis
4. Already conducted the Internal Audit Agenda</t>
  </si>
  <si>
    <t>1. Ensure the follow-up for CAR
2. Conduct the Management Review Agenda</t>
  </si>
  <si>
    <t>Capability Development for Internal Auditor ISO 27001</t>
  </si>
  <si>
    <t>1. Already conduct discussion with HR Team regarding activities
2. Already conduct the 5 dyas of training including examination</t>
  </si>
  <si>
    <t>MS 9</t>
  </si>
  <si>
    <t>Business Process Maturity Asessment</t>
  </si>
  <si>
    <t>ARS, ALR</t>
  </si>
  <si>
    <t>RRP, DHI</t>
  </si>
  <si>
    <t>MS 10</t>
  </si>
  <si>
    <t>Integrated ISO Certification Preparation and Readiness (ITM JKT)</t>
  </si>
  <si>
    <t>1. Proposed initial Term of Requirements (TOR)
2. Conduct Initial Meeting with 3 Suppliers Candidates</t>
  </si>
  <si>
    <t>1. Conduct Pre-Qualification with Supplier Candidates</t>
  </si>
  <si>
    <t>MS 11</t>
  </si>
  <si>
    <t>2025 Consolidate and align the CS Strategic Planning and performance</t>
  </si>
  <si>
    <t>Q1</t>
  </si>
  <si>
    <t>MS 12</t>
  </si>
  <si>
    <t>Monitoring CS Performance Management Review and follow up action items.</t>
  </si>
  <si>
    <t>ARS, DHI</t>
  </si>
  <si>
    <t>MS 13</t>
  </si>
  <si>
    <t>ITM QAR System Implementation and Monitoring</t>
  </si>
  <si>
    <t>1. Prepare guidance to follow up TIMES QAR Findings using QAR Apps &amp; TIMES QAR ALPHA
2. Ensure readiness tools for follow up
3. Update guidance
4. Communication to assurer &amp; assuree after TIMES QAR Procedure socialization on 21 July 2025
5. Send update progress and remind guidance how to follow up using Site Pre Closing Room (W3 SEP)
6. Send email wrap up progress update &amp; action required to all sites</t>
  </si>
  <si>
    <t>Pendampingan kepada Assuree untuk pembuatan follow up action plan for new approach</t>
  </si>
  <si>
    <t>MS 14</t>
  </si>
  <si>
    <t xml:space="preserve">2025 TIMES QAR Implementation </t>
  </si>
  <si>
    <t>ASN, RRP, DHI</t>
  </si>
  <si>
    <t>1. Already present to Pak Wur and HSEC team for the initial TIMES QAR 2025
2. Already follow up concern from last meeting
3. Conduct discussion with internal MSBP for TIMES QAR 2025 implementation option
4. Conduct discussion with HSEC to decide the option
5. Conduct discussion with Pak Puji to get Direction
6. Approval Governance 
7. Provide timeline of implementation</t>
  </si>
  <si>
    <t>1. User Training Proposals
2. Lead and monitor the timeline - Meeting with Mine Head
3. Lead and monitor the timeline - Focusing on User Training</t>
  </si>
  <si>
    <t>MS 15</t>
  </si>
  <si>
    <t xml:space="preserve">DOA Review and Revise executed as agreed plan (from IA recommendation regarding ICOMS-DOA) </t>
  </si>
  <si>
    <t>1. Adjustment of value, period, and approver contract parameters in ICOMS refers to the new ITM DOA table
2. Addition of the Mining Business Indonesia (MBI) and Enabler attributes to the contract type
3. Deletion of ”banking” category on area of service in ICOMS
4. Agreeing on the reference matrix of contract types versus DOA provisions
5. Finalize the BA related ICOMS-DOA Enhancement</t>
  </si>
  <si>
    <t>MS 16</t>
  </si>
  <si>
    <t xml:space="preserve">DOA Review and Revise executed as agreed plan e-CA-DOA) </t>
  </si>
  <si>
    <t>1. Conduct Initial Meeting
2. Propose for Scenario Testing«
3. Conduct internal discussion among MSBP to analyze the SpeedIT regarding e-CA</t>
  </si>
  <si>
    <t>1. Conduct testing
2. Follow-Up from the testing results
3. Review all final results
4. Release BA</t>
  </si>
  <si>
    <t>DOA Communication (ITM DOA Survey)</t>
  </si>
  <si>
    <t>1. Already planned for "MOTION - DOA Socialization''
2. Already conduct socialization of DOA Communication to MELAK Group (TCM, BEK, TIS, NPR, GPK) 
3. Publish "MOTION" to socialize the updated DOA Survey to all sites</t>
  </si>
  <si>
    <t>MS 17</t>
  </si>
  <si>
    <t>MS and CI Sharing Knowledge Program (e.g. Benchmark)</t>
  </si>
  <si>
    <t>RRP, BEY</t>
  </si>
  <si>
    <t>MS 18</t>
  </si>
  <si>
    <t>2025 MSBP/SPM/Quality/MS Integrated Plan Meeting</t>
  </si>
  <si>
    <t>MS 19</t>
  </si>
  <si>
    <t>Quality/SPM/MSBP Periodical Coordination Meeting</t>
  </si>
  <si>
    <t>BP - Development &amp; Procedure Alignment</t>
  </si>
  <si>
    <t>MS 20</t>
  </si>
  <si>
    <t>ERSM (Strategy and Performance Management)</t>
  </si>
  <si>
    <t>1. Already designed for BP L1-3 - ERSM
2. Already develop Flow Process + RASCI
3. Already identified the required governance
4. Already draft for Governance related Strategy &amp; Performance, Risk Management, and Compliance</t>
  </si>
  <si>
    <t>Monitor for approval</t>
  </si>
  <si>
    <t>New Business Requirement Development</t>
  </si>
  <si>
    <t>Coal Supply Management Governance Development</t>
  </si>
  <si>
    <t>ERP Implementation</t>
  </si>
  <si>
    <t>EBP (3rd Party Coal) Process Allign With Application</t>
  </si>
  <si>
    <t>BP - Development &amp; Org Alignment</t>
  </si>
  <si>
    <t>IBP (Including CPI)</t>
  </si>
  <si>
    <t>MS 21</t>
  </si>
  <si>
    <t>Forestry &amp; Enviro Management</t>
  </si>
  <si>
    <t>DHY</t>
  </si>
  <si>
    <t>Review &amp; finalize Management Standard Rehab DAS with FEM team</t>
  </si>
  <si>
    <t>Look forward for final review from Pak Andri and getting approval</t>
  </si>
  <si>
    <t>Tight schedule from PO</t>
  </si>
  <si>
    <t>MS 22</t>
  </si>
  <si>
    <t>F M C</t>
  </si>
  <si>
    <t>Already develop SOP Innovation value capture, financial data steward (financial dashboard) and budget execution</t>
  </si>
  <si>
    <t>Review session with FMC Head for SOP finalizatiom</t>
  </si>
  <si>
    <t>MS 23</t>
  </si>
  <si>
    <t>ERSM (Compliance and Risk)</t>
  </si>
  <si>
    <t>1. Already designed for BP L1-3 - ERSM
2. Already develop Flow Process + RASCI
3. Already identified the required governance
4. Already draft for Policy and SOP related Strategy &amp; Performance, Risk Management, and Compliance
5. Already finalized the Policy and Management Standard for Risk Management and Compliance</t>
  </si>
  <si>
    <t>1. Continue monitoring PO for approval documents</t>
  </si>
  <si>
    <t>MS 24</t>
  </si>
  <si>
    <t>HALO Digital Project</t>
  </si>
  <si>
    <t>MS 25</t>
  </si>
  <si>
    <t xml:space="preserve">ITM Transformation Office </t>
  </si>
  <si>
    <t>MS 31</t>
  </si>
  <si>
    <t xml:space="preserve">Digital and Innovation </t>
  </si>
  <si>
    <t>MS 26</t>
  </si>
  <si>
    <t>Issue Management and Resettlement Management</t>
  </si>
  <si>
    <t>MS 27</t>
  </si>
  <si>
    <t>Mineral Project Phase 1</t>
  </si>
  <si>
    <t>1. Coordinate with stakeholders to get the aspiration, strategy, and objectives
2. Coordinate with stakeholders in fulfillment of Mineral Project Phase 1 BPM Worksheet
3. Develop Business Process High Level (Explaining each wave)
4. Conduct iteration meeting to finetune the BP Design
5. Present to Director for approval</t>
  </si>
  <si>
    <t>MS 28</t>
  </si>
  <si>
    <t>Internal Audit Enhancement</t>
  </si>
  <si>
    <t>1. Already produced draft – IA Manual
2. Already draft - IA Business Process L2-3 (New)
3. Already draft - IA Business Process L4
4. Already draft - 3 SOP of IA
5. Confirm the IA BP &amp; SOP
6. Finalize all Documents</t>
  </si>
  <si>
    <t>1. Monitor the Approval</t>
  </si>
  <si>
    <t>MS.30</t>
  </si>
  <si>
    <t>ROM &amp; FC Safety Stock Implementation</t>
  </si>
  <si>
    <t>SOP ROM &amp; FC Safety Stock already developed and did role play with stackholders</t>
  </si>
  <si>
    <t>Update for SOP ROM &amp; FC Safety Stock refer to role play</t>
  </si>
  <si>
    <t>MS.31</t>
  </si>
  <si>
    <t>Shipment Document Vessel (Tax &amp; SC)</t>
  </si>
  <si>
    <t>Flow Process for Shipment Document Vessel already developed</t>
  </si>
  <si>
    <t>SOP Establishment with SC Team</t>
  </si>
  <si>
    <t>MS.32</t>
  </si>
  <si>
    <t>HR SOP Development</t>
  </si>
  <si>
    <t>-SOP Industrial Relation Dispute and Managing Employee Complaint done 
'-SOP Payroll, Employee Loan and SOP Employee Personal Data done</t>
  </si>
  <si>
    <t>Getting approval for SOP</t>
  </si>
  <si>
    <t>Management System &amp; Business Process</t>
  </si>
  <si>
    <t>MS.33</t>
  </si>
  <si>
    <t>MS.34</t>
  </si>
  <si>
    <t>Shipment Coordination Procedures (Non BLMS)</t>
  </si>
  <si>
    <t>Develop SOP for Shipment Doc :
1. Shipment Doc for vessel
2. Shipment Doc for direct barge
3. Shipment Doc for transhipment</t>
  </si>
  <si>
    <t>Waiting schedule for discuss and review with SC Team (tight schedule)</t>
  </si>
  <si>
    <t>MS.35</t>
  </si>
  <si>
    <t>Contractor MAnagement and Engineering Enhancement</t>
  </si>
  <si>
    <t>Develop SOP for 
1. Contractor Engagement
2. Contractor Monitroing and Evaluation, 
3. Contractor Work Completion
4. Contractor Performance Improvement</t>
  </si>
  <si>
    <t>Final review with stakeholders</t>
  </si>
  <si>
    <t>MS.36</t>
  </si>
  <si>
    <t>Information Technology Governance</t>
  </si>
  <si>
    <t>Finalized for SP for Application Architecture and Infrastructure, SP  Aplication Workflow Engine and Guideline ITM Plaza reponsive for end user</t>
  </si>
  <si>
    <t>All procedures done</t>
  </si>
  <si>
    <t>Continuous Improvement</t>
  </si>
  <si>
    <t xml:space="preserve">Innovation Program and Implementation </t>
  </si>
  <si>
    <t>CI 1.1</t>
  </si>
  <si>
    <t>ITM Innovation Strategic Deployment</t>
  </si>
  <si>
    <t>RSW, AFZ, BEY</t>
  </si>
  <si>
    <t>CI 1.2</t>
  </si>
  <si>
    <t>Establisment of Innovation Strategic Deployment (e.g. Institutionalized at Site Level for managing Innovation)</t>
  </si>
  <si>
    <t>RSW</t>
  </si>
  <si>
    <t>AFZ, BEY</t>
  </si>
  <si>
    <t>H1</t>
  </si>
  <si>
    <t>1. Developed the scheme &amp; timeline
2. Conducted first filtering the ITM SI 2025
3. Already discuss &amp; review the scheme with ERSM Dept.(20 May '25)
4. Already discussed with DCC Head (21 May '25)</t>
  </si>
  <si>
    <t>1. Coordination with ITM Innovation Working Committee</t>
  </si>
  <si>
    <t>MS 2.3</t>
  </si>
  <si>
    <t>Innovation Management</t>
  </si>
  <si>
    <t>RSW, AFZ</t>
  </si>
  <si>
    <t xml:space="preserve"> Reviewed:
1. Innovation Strategic Deployment
2. Idea Generation &amp; Prioritization
3. Stage Gate Process
4. Idea Blast
5. Strategic Project Tracking and Monitoring
6. Operational Project Tracking and Monitoring</t>
  </si>
  <si>
    <t>Next review:
1. ITMNovation Convention
2. Site Innovation Convention JKT-IBO
3. Innovation Communication
4. Innovation QMS &amp; System Development</t>
  </si>
  <si>
    <t>D&amp;I Plan
Impacted to Innovation BP draft.</t>
  </si>
  <si>
    <t>CI Governance Tracking Worksheet</t>
  </si>
  <si>
    <t>CI 1.3</t>
  </si>
  <si>
    <t>Benchmarking Program</t>
  </si>
  <si>
    <t>1. Send TOR to PAMA (18/02)
2. Initial Coordination with PAMA (10/03)
3. Agreed to conduct Benchmark on May 13th, 2025
4. Send email to Function Heads to assign representative from each Dept - HR, DCOE (11/04)
5. Request CA for Transport &amp; Meals fees
6. Create preparation group Teams chat &amp; invitation to Site SPM/ DSPM (24/04)
7. Request souvenir to CC (24/04)</t>
  </si>
  <si>
    <r>
      <rPr>
        <i/>
        <sz val="8"/>
        <color rgb="FFFF0000"/>
        <rFont val="Arial"/>
        <family val="2"/>
      </rPr>
      <t>Postponed due to PAMA readiness</t>
    </r>
    <r>
      <rPr>
        <sz val="8"/>
        <color theme="1"/>
        <rFont val="Arial"/>
        <family val="2"/>
      </rPr>
      <t xml:space="preserve">
</t>
    </r>
  </si>
  <si>
    <t>CI 1.5</t>
  </si>
  <si>
    <t>Innovation Portfolio Management</t>
  </si>
  <si>
    <t>1. Concept already developed</t>
  </si>
  <si>
    <t>CI 1.6</t>
  </si>
  <si>
    <t>Innovation Maturity Assessment &amp; Enhancement Program</t>
  </si>
  <si>
    <t>1. Reviewed proposal from CIAS
2. Developed vendor comparison between CIAS, APQC, Outcome
3. Discussed &amp; receipt proposal from PPM
4. Conduct discussion with PPM Manajemen to explain their proposal (30 May '25)
5. Update Vendor comparison (add PPM Manajemen)
6. Already discussed with MSBP Head &amp; CI Member relate with vendor comparison
7. Already communication with Banpu Academy, currently they not yet have plan to conduct this matter but they're interested, so that they request to share the result later (17 Jun '25)
8. Agreed to elaborate more regarding Self-assessment by Gartner &amp; APQC (17 Jun '25)
9. Select 2 best vendor
10. Analyze of feasibility, approach &amp; other paramaters
11. Selected the proper approcah (Gartner)
12. Analyze the Gartner assessment items that relevan with target participants
13. Agreed to select relevan tartget participant (CI-MSBP, DPSM, SPM, DCC &amp; OM)
14. Conducted explanation session to DSPM Melak (6 Oct '25, DSPM IMM &amp; OM TRUST (9 Oct '25)
15. Already 100% participant fill in assessment form
16 Develop data compilation per site &amp; get the score
17. Develop data aggregate to ITM Group level and get the score
18. For ITM Group Level Innovation Maturity Self Assessment Score is 3.28</t>
  </si>
  <si>
    <t>1. Seek schedule to conduct FGD with all related participants
2. Set action plan based on result from FGD Session</t>
  </si>
  <si>
    <t>CI 1.7</t>
  </si>
  <si>
    <t>Innovation Ecosystem (Initiated)</t>
  </si>
  <si>
    <t>BEY, RSW</t>
  </si>
  <si>
    <t>- Created draft big action plan program Innovation Ecosystem
- Drafted innovation eco-system program [in detail]
'- Schedule time for discussion first draft
- Agreed draft proposal [Conduct discussion]</t>
  </si>
  <si>
    <t>- Finalize the proposal</t>
  </si>
  <si>
    <t>CI 1.4</t>
  </si>
  <si>
    <t>Strengthen Innovative Culture (e.g., Bootcamp/Innovation Hack, Innovation Show)</t>
  </si>
  <si>
    <r>
      <t xml:space="preserve">1. CI internal meeting &amp; coordinate with HR - agenda proposal (11/06)
2. Review by MSBP Head (16/06)
3. Discuss with DCC (19/06)
4. Learning Design Deck &amp; Innovation Agenda (24/06)
</t>
    </r>
    <r>
      <rPr>
        <b/>
        <sz val="8"/>
        <color rgb="FF000000"/>
        <rFont val="Arial"/>
        <family val="2"/>
      </rPr>
      <t xml:space="preserve">BHSS (Done - July)
</t>
    </r>
    <r>
      <rPr>
        <sz val="8"/>
        <color rgb="FF000000"/>
        <rFont val="Arial"/>
        <family val="2"/>
      </rPr>
      <t xml:space="preserve">1. Define concept (02/07)
2. Key speaker selection (10/07)
3. TOR development &amp; review (17/07)
4. Master design from CC (22/07)
5. Moderator brief (24/07)
6. Key Speaker technical meeting (25/07)
</t>
    </r>
    <r>
      <rPr>
        <b/>
        <sz val="8"/>
        <color rgb="FF000000"/>
        <rFont val="Arial"/>
        <family val="2"/>
      </rPr>
      <t xml:space="preserve">Innovation Promotion through QCD (Done - August)
</t>
    </r>
    <r>
      <rPr>
        <sz val="8"/>
        <color rgb="FF000000"/>
        <rFont val="Arial"/>
        <family val="2"/>
      </rPr>
      <t xml:space="preserve">1. Request from CC (04/08)
2. Create communication group with Project team (05/08)
3. Brief to Project team (08/08)
</t>
    </r>
    <r>
      <rPr>
        <b/>
        <sz val="8"/>
        <color rgb="FFFF0000"/>
        <rFont val="Arial"/>
        <family val="2"/>
      </rPr>
      <t>Innovation Talkshow in collab with HSEC &amp; DCC (Cancelled):</t>
    </r>
    <r>
      <rPr>
        <sz val="8"/>
        <color rgb="FF000000"/>
        <rFont val="Arial"/>
        <family val="2"/>
      </rPr>
      <t xml:space="preserve">
1. Initial email to HSEC (20/08)
2. Initial meeting with HSEC &amp; DCC (03/09)
3. TOR sent to HSEC (08/09)
</t>
    </r>
    <r>
      <rPr>
        <b/>
        <sz val="8"/>
        <color rgb="FF000000"/>
        <rFont val="Arial"/>
        <family val="2"/>
      </rPr>
      <t xml:space="preserve">Innovation Talkshow in collab with HR (Done - October)
</t>
    </r>
    <r>
      <rPr>
        <sz val="8"/>
        <color rgb="FF000000"/>
        <rFont val="Arial"/>
        <family val="2"/>
      </rPr>
      <t xml:space="preserve">1. Scheme re-discussion (12/09)
2. TOR development (16/09)
3. Seeking Speaker (Done - Tyo Guritno)
4. Alignment with Tyo Guritno (Done)
5. Meals preparation (Done)
</t>
    </r>
  </si>
  <si>
    <t>Budget</t>
  </si>
  <si>
    <t>CI 3</t>
  </si>
  <si>
    <t xml:space="preserve">Innovation PMO/Facilitating/Coaching/Clinic Program for each Initiatives </t>
  </si>
  <si>
    <t>BEY, AFZ</t>
  </si>
  <si>
    <t>1. Facilitated DT &amp; Preparation Kick Off Project Times Cepat
2. Facilitated ADAPtTIC Project 
3. Faciliated TREIN #2 
4. Facilitated PLIS Phase #2 Adoption
5. Facilitate Vehicnle Management System
6. Facilitate GA improvement project
7. Support to facilitate Procurement &amp; IT RPA Project 
8. Facilitated CC Project  Initiatives
9. ADAPTIC : Prepare to Go Live
10. TREIN #2 revisit score, sprint plan &amp; team member
11. TRIMS in analyze &amp;ensure there's no double benefit to employee, relate with traveling to join event &amp; workshop
12. PLIS  adoption : follow up to set socialization &amp; training for NPR Employee
13. Vehicnle Management System : progress AI Vision POC already 75% &amp; waiting update from Autogate paroject progress &amp; timeline
14. GA Accomodation Improvement : Finalization Project  Charter &amp; prepare to submit registration to INOC
14. RPA Project : Prepare G1 Submission
15. All related proejct already join JKT Innovation Convention</t>
  </si>
  <si>
    <t>CI 4</t>
  </si>
  <si>
    <t xml:space="preserve">Innovation Center (INOC) Roll Out and Monitoring </t>
  </si>
  <si>
    <t>RSW, BEY</t>
  </si>
  <si>
    <t>- Listed issue from TCM-BEK
- Follow up to Tim IT for the issue
- Follw up issue INOC TCM BEK
- Discussion for plan INOC V.04
- Trial data INOC submission for AI [Preparation]
- Identify issue user BKK can't login INOC
- Follow up issue Melak Cluster for user not linkage with HRIS
- Socialization INOC to Team Project ITM Gaja Mada
- Follow up flow approval Idea Blast
- Solvig Issue TRUST &amp; Melak by Accident
- Draft matrial socialization for Gajah Mada Project
- 'Create requirement INOC 4.0
- Discuss with P' Achmy &amp; Team Dev for issue from Melak &amp; TRUST (Can't update Automatically from database for new role direct superior)
- Draft for new requirement Dashboards INOC Innitiatives related with ITM Business Process</t>
  </si>
  <si>
    <t>- Continued conduct biweekly update AI requirement development
- Collect data requirement from each site</t>
  </si>
  <si>
    <t>- Need some adjustment for user/role</t>
  </si>
  <si>
    <t>CI 6</t>
  </si>
  <si>
    <t>Innovation Adoption and Impact Monitoring for each initiatives/Value Tracking</t>
  </si>
  <si>
    <t>- List up Project Completed to follow regulation Adoption and Impact Tracking
- Confirm to PO for participate Adoption and impact tracking
- Drafting scheme for monitorig
- Draft data submission for dashboard monitoring to PBI
- Drafting governance Project Adoption [MS/SOP]</t>
  </si>
  <si>
    <t>- Continue discuss for finalize Governance (MS &amp; SP) Project Adoption &amp; Benefit Impact Tracking</t>
  </si>
  <si>
    <t>- status project due date of end off moitoring</t>
  </si>
  <si>
    <t>CI 7</t>
  </si>
  <si>
    <t>2024 Success Project Expansion (SPEx) Implementation</t>
  </si>
  <si>
    <t>1. In progress to collect potential project initiative as candidates of 2025 SPEx Program
2. PLIS Phase #2 as SPEx Project 2025
3. Facilitating to conduct regular coordination with CRM Melak Team (conducted weekly coordination meeting every Wednesday 09.00 am WIB)
4. Conducted sharing &amp; coordination with KTT NPR (2 Jul ’25)
5. Conducted socialization to NPR PIC Related as assigned by KTT NPR (17 Jul ’25)
6. Conduct sharing &amp; coordination with KTT BEK (20 Aug ’25)
7. Get formal assignment of BEK PIC related from KTT BEK (9 Oct ’25)
8. Conducted socialization to BEK PIC related (27 – 28 Nov ’25)</t>
  </si>
  <si>
    <t>1. Official rollout in BEK, TCM &amp; GPK</t>
  </si>
  <si>
    <t>CI 8</t>
  </si>
  <si>
    <t>5S Program Implementation (e.g.  5S Hack, 5SxK3, ITM Clean Up Day, Training 5S, Audit 5S_Scoring_CAR)</t>
  </si>
  <si>
    <t>- Drafted Proposal event 5SxK3
- Agreed Proposal 5SxK3 [Content Program &amp; Budget
- Discussed with K3 committee for alignment schedule and support
- Drafted T&amp;C for program "Lomba Kreatifitas"
- Create CA as budget approved
- Finalize T&amp;C with Internal CI
- Drafted content promotion "Lomba Kreatifitas" with K3 Committee
- Update Kontrak RDPL on IPROC 
- Release Teaser "Lomba Kreativitas"
- Follow up status Iproc
- Created/submited contract RDPL to ICOMS
- [Done] Follow up "blast teaser" Lomba Kreativitas Teaser #2
- [Done] Follow up Approval Contract RDPL on IProc
- Preparation "Talkshop 5SxErgonomic"
- Summary winner Lomba Poster 5SxK3
- Create Announcement for closing Month of K3
- Follow up Approval Proposal Vendor
- ITM Strategic Objective discussion with Vendor
- Create Timeliine for execute 5S Strategic alig with ITM Strategic Objectives</t>
  </si>
  <si>
    <t xml:space="preserve">- Drafting governance 5S Enhancement [MS]
- Conduct training 5S with coordination HR </t>
  </si>
  <si>
    <t>CI 2</t>
  </si>
  <si>
    <t>Innovation Learning Program Implementation 
2.1. Innovation Learning Modules 
2.2. Pre &amp; Post Learning Management 
2.3. In-House Expertise Development (e.g. TFT Mechanism)</t>
  </si>
  <si>
    <r>
      <t xml:space="preserve">1. Initial meeting with HR to get same understanding, discuss direction and aspiration from steerco &amp; HR Head (14/01)
2. FU meeting with working team to develop proposal. 2025 modules agreed by all parties &amp; plan to have SPM/ DSPM certified (30/01)
3. Arrange meeting with HRSS for CapDev (20/02)
4. Joined Learning Design Training (25-27/02)
5. Arrange internal meeting for Leading Change plan (10/03)
6. Presentation Skill to Project Team for 2025 BGIA (14/03)
7. Joined TTT Training (18-20/03)
8. Meeting with HR for New Onboarding Module (24/03)
9. Meeting with HR for technical module creation (25/03)
10. In-module Quiz (28/04)
11. Pre&amp;Post Test (28/04)
</t>
    </r>
    <r>
      <rPr>
        <b/>
        <sz val="8"/>
        <color theme="1"/>
        <rFont val="Arial"/>
        <family val="2"/>
      </rPr>
      <t xml:space="preserve">Update in email: Subject - 2025 Innovation Learning Update
</t>
    </r>
    <r>
      <rPr>
        <sz val="8"/>
        <color theme="1"/>
        <rFont val="Arial"/>
        <family val="2"/>
      </rPr>
      <t>1. Innovation Assessor (Innovation Judges Training) = Drop
2. Leading Change = Shifted to 2026
3. Business &amp; Financial Analysis = Shifted to 2026
4. SM/ PO Certification = Shifted to 2026
5. Presentation Skill = Additional</t>
    </r>
  </si>
  <si>
    <r>
      <rPr>
        <b/>
        <sz val="8"/>
        <color rgb="FF000000"/>
        <rFont val="Arial"/>
        <family val="2"/>
      </rPr>
      <t xml:space="preserve">Innovation Mandatory Training to Existing Employee:
</t>
    </r>
    <r>
      <rPr>
        <sz val="8"/>
        <color rgb="FF000000"/>
        <rFont val="Arial"/>
        <family val="2"/>
      </rPr>
      <t xml:space="preserve">1. Training (27-28/ 10)
</t>
    </r>
    <r>
      <rPr>
        <b/>
        <sz val="8"/>
        <color rgb="FF000000"/>
        <rFont val="Arial"/>
        <family val="2"/>
      </rPr>
      <t xml:space="preserve">Presentation Skill:
</t>
    </r>
    <r>
      <rPr>
        <sz val="8"/>
        <color rgb="FF000000"/>
        <rFont val="Arial"/>
        <family val="2"/>
      </rPr>
      <t>1. Consult with HR &amp; Mas Agung (23 /10)</t>
    </r>
  </si>
  <si>
    <t>Subscription for https://elevenlabs.io/app/home</t>
  </si>
  <si>
    <t>CI 5</t>
  </si>
  <si>
    <t xml:space="preserve">Innovation Promotion and Communication Program </t>
  </si>
  <si>
    <t>1. Release INSITION survey as riset (15/01)
2. Result compilation &amp; action plan proposal (31/01)
3. Present survey result to internal (10/02)
4. Draft Project profile for 2025 BGIA (24/04)
5. Blast - Send-off for BGIA 2025 (05/05)
6. Blast - D-1 for BGIA 2025 (07/05)
7. Blast Band Reward 2025 BGIA (16/05)
8. Blast  IB &amp; INFINITY Promotion (09/06)
9. Initial discussion with CC (23/06)
10. First KV draft by CC (18/07)
11. 2nd KV draft by CC (22/07)
12. Meeting with ADAPt for communication requirement (25/07)
13. First draft of ADAPTIC communication (15/08)
14. 2nd draft of ADAPTIC communication (18/08)
15. 3rd draft of ADAPTIC communication (22/08)
16. Release of ADAPTIC communication (26/08)
17. ITMNovation teaser1 (25/09)
18. ITMNovation teaser 2 (29/09)
19. ITMNovation what's new (01/10)
20. JKT-IBO teaser (07/10)
21. JKT-IBO teaser resend (10/10)
22. Innovation Talkshow 1 (15/10)
23. Innovation Talkshow 2 (21/10)
24. Innovation Talkshow 3 (22/10)</t>
  </si>
  <si>
    <t>Innovation Convention facilitation and Activities (e.g. ITMNovation Convention, Hackathon, BANPU Convention Preparation and Support)</t>
  </si>
  <si>
    <t>CI 10.1</t>
  </si>
  <si>
    <t>ITMNovation Convention</t>
  </si>
  <si>
    <t>H2</t>
  </si>
  <si>
    <t>1. Already initial discussion with HR &amp; DCC, as preparation to main event (10 Jun '25)
2. Develop new shceme relate innovation &amp; improvement that will be proosed to be used in ITMNovation Convention annual event
3. Already presented to ITM Innovation Committee, relate with proposal of new scheme ITMNovation Convention, theme, color theme  &amp; its agenda series (3 Jul '25)
4. Agreed the Event Theme
5. Event scheme already agreed : Hybrid (4 mini studio, JKT, Melak, Bontang &amp; Jorong)
6. Conducted communication to all related parties in mine site (18 Sep '25)
7. Already conducted refreshment for Site Level Judges Melak, JBG &amp; IMM</t>
  </si>
  <si>
    <t>1. Determine event theme that will be package with virtual stage &amp; online event</t>
  </si>
  <si>
    <t>CI 10.3</t>
  </si>
  <si>
    <t>BANPU Convention Preparation and Support</t>
  </si>
  <si>
    <t>1. Conducted with ITM Innvaiton Committee Meeting to select project initiatives as ITM Group Dleegation (24 Feb '25)
2. Already conducted communication &amp; socialization regarding prepraration timeline 2025 Banpu Global Innovation Awards to 5 project as ITM Group Delegation (7 Mar '25)
3. All delegation project (5 project already submitted the registration form to join 2025 Banpu Global Innovation Awards (10 Mar '25)
4. Share outline template as refference to all project team
5. Collect the first draft presentation material each project team ((13 Mar '25)
6. Preparation for sharing session regarding Ho To Deliver Impactful Presentation on 14 Mar '25
7. Facilitate to conducted online rehearsal #1 with ITM Innovation Committee
8. Facilitate to conducted online rehearsal with Banpu Global Committee
9. Facilitate to conducted online rehearsal #2 with ITM Innovation Committee
10. Reviewed the material updated from several project team
11. Facilitate to conducted online rehearsal #1 with ITM BOD
12. Facilitate to conducted ofline rehearsal #2 with ITM Innovation Committee
13. Support &amp; facilitate rehearsal on stage (7 May '25)
14. Support to ensure readiness all team to present (8 May '25)</t>
  </si>
  <si>
    <t xml:space="preserve">Facilitating Digital Mining project and Realization of Digital Transformation and Innovation and Enabling end to end operation process and support process by optimizing system and technology </t>
  </si>
  <si>
    <t>CI 11.1</t>
  </si>
  <si>
    <t>3MRP Adoption</t>
  </si>
  <si>
    <r>
      <rPr>
        <sz val="8"/>
        <color rgb="FF000000"/>
        <rFont val="Arial"/>
        <family val="2"/>
      </rPr>
      <t xml:space="preserve">- Confirmed the lastest Status
- Update progress on site BEK &amp; TCM
'- expand to site GPK &amp; NPR
</t>
    </r>
    <r>
      <rPr>
        <b/>
        <sz val="8"/>
        <color rgb="FF000000"/>
        <rFont val="Arial"/>
        <family val="2"/>
      </rPr>
      <t>- Project Completed and joined ITMNovation Convention ITM Level</t>
    </r>
  </si>
  <si>
    <t>CI 11.2</t>
  </si>
  <si>
    <t>Shipment Planning (SHIPO) Handover</t>
  </si>
  <si>
    <t>Move to IPoD managing with new name project BLMS</t>
  </si>
  <si>
    <t>CI 11.3</t>
  </si>
  <si>
    <t>Go-Safe Adoption</t>
  </si>
  <si>
    <r>
      <rPr>
        <sz val="8"/>
        <color rgb="FF000000"/>
        <rFont val="Arial"/>
        <family val="2"/>
      </rPr>
      <t xml:space="preserve">- Confirmed the lastest Status
- Clarify updated plan monitoring issue go safe
- Disccuss value levers for monitoring Go safe after Go Live [Confirmation item KPI]
- </t>
    </r>
    <r>
      <rPr>
        <b/>
        <sz val="8"/>
        <color rgb="FF000000"/>
        <rFont val="Arial"/>
        <family val="2"/>
      </rPr>
      <t>Project Handover to team DCOE</t>
    </r>
  </si>
  <si>
    <t xml:space="preserve">- </t>
  </si>
  <si>
    <t>Move to IPoD Managing</t>
  </si>
  <si>
    <t>CI 11.4</t>
  </si>
  <si>
    <t>ADAPT Project</t>
  </si>
  <si>
    <t>1. Already conduct initial discussion with IT JKT to grab the next phase requirement (14 Feb '25)
2. IT developed the requirement related
3. Facilitate to review &amp; discuss related the requirement result that developed by IT
4. Agreed that timeline
5. G1 Submission in INOC
6. IT alreadyl prepare UAT server &amp; the guideline to conduct UAT (11 May '25)
7. IA Team already startedl conduct UAT on 13 May '25
8. IA Team finishing UAT session &amp; share UAT result on 30 May '25
9. Conduct discussion relate with UAT result (9 Jun '25)
10.  IT already follow up iby develop additional features relate with some requirement based on UAT Result &amp; already deploy to UAT Server
11. IA Team already started to review the addiitional features in UAT Server
12. Confirmed by IA Team relate with additional feature in UAT Server
13. PO already submitted G3 in INOC
14. Preparation to ADAPTIC Go Live
      * IT Prepare deployment to production server
      * IT conduct  deployment &amp; testing in production server
15.ADAPTIC Go Live (26 Aug '25)
16. Submission G4 in INOC
17. G4 Completed in INOC</t>
  </si>
  <si>
    <t>CI 11.5</t>
  </si>
  <si>
    <t>IMAPS Adoption</t>
  </si>
  <si>
    <t xml:space="preserve">- Confirmed the lastest Status
- Pre-launched
- Disccuss value levers for monitoring [Confirmation item KPI]
- Project running well on site </t>
  </si>
  <si>
    <t>Waiting Dashboard Project Adiption and Benefit Impcat ready to use &amp; Align with Governance (MS &amp; SP)</t>
  </si>
  <si>
    <t>CI 11.6</t>
  </si>
  <si>
    <t>TIMES-CEPAT + NCR (STAGE 1-3)</t>
  </si>
  <si>
    <t xml:space="preserve">1. Facilitate as Product Owner for TIMES CEPAT &amp; TIMES QAR
2. Prepare timeline plan for stage 1-3
3. Prepare product roadmap
4. Facilitate aspirations from other stakeholder and recap as Future Aspirations
5. Define Sprint Goals and ensure the achievement on each sprint
6. Stage 1 already developed on 6 sprint with sprint team
7. Stage 2 already developed on 6 sprint with sprint team
8. Prepare update progress of stage 1-3 to present on last sprint review stage 2
</t>
  </si>
  <si>
    <t>Continue UAT,
Prepare bank checklist database, Prepare requirement based on site user feedback, Prepare requirement for additional NCR source (asset risk survey)</t>
  </si>
  <si>
    <t>CI 11.7</t>
  </si>
  <si>
    <t>TRIMS Project Enhancement</t>
  </si>
  <si>
    <t>1. Updated the MS related
2. Identified the potential double benefit for employee who traveling related with join event
3. MS already final &amp; in progress approval
4. Sistem already updated
5. UAT already conducted (GA &amp; Finance)
6. Already conducted sharing session &amp; grab concern from HR Head (17 Oct '25)
7. Already grab some concern from Pak Jun by FMC Team
8. Update some items based on concern from Pak Jun
9. Ageed by Pak Gunawan by HR Team
10. Ready to be approval process</t>
  </si>
  <si>
    <t>1. Approval proces (Pak Adihin, Pak Gunawan, Pak Junius &amp; Pak Mul)
2. Set schedule to conduct training &amp; socialization (JKT &amp; IBO)</t>
  </si>
  <si>
    <t>CI 9</t>
  </si>
  <si>
    <t xml:space="preserve">Innovation Governance (Transformation and Innovation) - Continued </t>
  </si>
  <si>
    <t>Q2</t>
  </si>
  <si>
    <t>1. INFINITY Flowchart &amp; SOP
On qeueu:
1. Innovation Strategic Deployment - ITM Level
2.  Innovation Strategic Deployment - Site Level
3. Innovation Convention - JKTIBO
4. ITMNovation Convention - ITM Group Level
5. Innovation QMS &amp; System Development
6. 5S Audit</t>
  </si>
  <si>
    <t xml:space="preserve">Hold due to waiting for Innovation Stream proposal </t>
  </si>
  <si>
    <t>CI 10.2</t>
  </si>
  <si>
    <t>ITMNovation Convention (JKT-IBO)</t>
  </si>
  <si>
    <t>1. Present the scheme to Innovation Committee (03/07)
2. Master Design from CC (25/09)
3. Template &amp; outline presentasi (03/10)
4. Winner Tag design</t>
  </si>
  <si>
    <t xml:space="preserve">
1. Bumper winner announcement
2. Polo design</t>
  </si>
  <si>
    <t>CI 11.8</t>
  </si>
  <si>
    <t>TREIN Project Phase 2</t>
  </si>
  <si>
    <t>1. Discussion with Musang for Fuel Station TRUST digitalization (14/01)
2. Discussion project of additional plumbing system pipe line fuel storage 05, KM 33 (16/01)
3. Field survey to KM33, KM40, Bengkirai with Patra Niaga, Patra Logistik (15-17/02)
4. Arrange meeting with OM &amp; CHO for Fuel Distribution Data recording automation (21/02)
5. Pre-kick off meeting (14/03)
6. Kick-off meeting (08/05)
7. Coordination meeting with Core Team - post retrenchment (08/07)
8. Update Sprint Tasks (16/07)
9. Brief TREIN to Nanda S.S (25/07)
10. Present to Project Sponsor (12/09)
11. FU Core Team Meeting (16/09)</t>
  </si>
  <si>
    <t>1. Conduct weekly progress update of FuMS App (every tuesday, 3PM)</t>
  </si>
  <si>
    <t>Retrenchment Impact</t>
  </si>
  <si>
    <t>CI 11.9</t>
  </si>
  <si>
    <t>PLIS Phase 2 Deployment To Site</t>
  </si>
  <si>
    <t>1. Already agreed among team to execute &amp; rollout pilot project to IMM &amp; Melak
2. Already conducted initial discussuin regarding plan PLIS Implementation to IMM, with DSPM Head  &amp; got acknowledgement (14 Feb '25)
3. Conducted initial discussion with DSPM Head &amp; CRM Team Melak (20 Feb '25)
4. Conducted core team coordination meeting, to get update regarding implementation in IMM &amp; Melak (15 May '25)
5. Agreed to conduct regular meeting (weekly) with PIC in IMM &amp; Melak (14 May '25)
6. Conducted data cleansing data for some trial submission (14 May '25)
7. Already released weekly meeting progress update for IMM &amp; Melak (15 May '25)
8. Already conduct first weekly progress meeting with CRM Melak (28 May '25) &amp; CRM IMM (30 May '25)
9. Conducted brief regarding PLIS Apps for new member CRM Melak &amp; refreshment for other member (3 Jun '25)
10. Agreed to mapping PLIS Data structur to be comparing with Permit list CRM Melak &amp; IMM by IT
11. Conducted initial meeting with KTT NPR
12. Cpnducted socialization &amp; training for reetad PIC in NPR
13. Conducted initial meeting with KTT BEK
14. As requested by KTT BEK, CRM melak already provide lpermit list under BEK to be mapping with PIC related</t>
  </si>
  <si>
    <t>1. Set coordination among Project Team, MSBP &amp; DSPM Melak to discuss related with business process Permit &amp; Obligation 
Conduct socialization &amp; training for related PIC BEK Site
2. Initial meeting with KTT TIS
3. Conduct socialization &amp; training for related PIC TIS Site</t>
  </si>
  <si>
    <t>CI 12</t>
  </si>
  <si>
    <t>Innovation Center (INOC) Change Request or Enhancement (Based on Roll Out &amp; Monitoring Task) v.4</t>
  </si>
  <si>
    <t>- Material requirement completed
-</t>
  </si>
  <si>
    <t>Waiting Project TIME Cepat done proces development</t>
  </si>
  <si>
    <t>CI 13</t>
  </si>
  <si>
    <t>Vehicle Monitoring System Initiative (Security Management JKT)</t>
  </si>
  <si>
    <t>1. Conducted initial meeting with idea owner (20 May '25)
2.Continue discussion with Security Management JKT &amp; IT Jkt related with the initiative (27 May '25)
3. Conducted coordination meeting with DSPM Melak, IT Melak, IT Jkt &amp; Security Management Jkt, and agreed currently to rollout each initiatives seperately &amp; plan to be integrated in next autogate phase (Jul-Aug '25)
4. Agreed to conduct regular coordination meeting to get update each other (Bi-Weekly
5. Already developed the app as interface to access AI Vision &amp; some related features --&gt; https://avms.banpuindo.co.id/
6. Some User related already registered &amp; can access the apps
7. Already get acknowledgement from IT Melak &amp; DSPM
8. Conduct preparation for POC Phase (explain what will do, role of each involevemnt PIC &amp; the duration) on 1 Oct '25
9. Already G2 Complete in INOC
10. Open access to AVMS Apps. to involvement PIC &amp; conduct short brief to uses the apps.
11. Start POC in Kajug Gate
12. Submit G4 in INOC</t>
  </si>
  <si>
    <t>1. Monitoring
2. Discuss regarding SOP Development</t>
  </si>
  <si>
    <t>CM 1</t>
  </si>
  <si>
    <t>Change Management Governance Fullfillment</t>
  </si>
  <si>
    <t xml:space="preserve">Change Management </t>
  </si>
  <si>
    <t xml:space="preserve">Change Management for Khatulistiwa, Digital Sign, COUPA enhancement </t>
  </si>
  <si>
    <t>CM 2</t>
  </si>
  <si>
    <t>Change Management for Digital Sign</t>
  </si>
  <si>
    <t>1. Provide draft email for Digital System Registration and Training Session for BOD</t>
  </si>
  <si>
    <t>CM 3</t>
  </si>
  <si>
    <t xml:space="preserve">Change Management for COUPA enhancement </t>
  </si>
  <si>
    <t>1. Prepare CM activities
2. Design 3 newsletter and blast</t>
  </si>
  <si>
    <t>CM 4</t>
  </si>
  <si>
    <t xml:space="preserve">Change Management for MIP Purview </t>
  </si>
  <si>
    <t>1. Design and establish a comprehensive Change Management tools based on insights from Practical Change Management Training to ensure consistency and scalability.
2. Define CM Vision clearly and conduct stakeholder analysis and change impact assessment to build a strong foundation for change initiatives.
3. Develop a Change Management strategy aligned with ENGAGE milestones to guide implementation effectively.
4. Create a detailed CM activity plan with measurable milestones and continuously monitor progress to ensure readiness and alignment.
5. Facilitate collaboration with HR to propose In-House Training for Change Agents, including drafting and submitting a comprehensive training proposal.</t>
  </si>
  <si>
    <t>Barge Optimizer - Shipment Plan</t>
  </si>
  <si>
    <t>MS 6.9</t>
  </si>
  <si>
    <t>-Build draft process flow
-Build draft process descriptoon details
-Roleplay with all stakeholder
-'-Finalize process based on roleplay result - still on progress finalization
-Build new process description based on new flow process
-Preparation for weekly steerco meeting</t>
  </si>
  <si>
    <t>SOP
Tentative Barge Schedule -&gt; Development (Fase 2) - buat baru row nya</t>
  </si>
  <si>
    <t>PLIS Phase 3 Development</t>
  </si>
  <si>
    <t>1. Collect feedback, aspirattion &amp; requirment from related parties
2. Analyze the  feedback, aspirattion &amp; requirment that relevant with th objective
3. Developed mockup to be dashboard
4. Presented to IT Head &amp; FMC Head regarding the budget required
5. Already got aapproval from FMC &amp; IT to continue PLIS Phase #3
6. Deliver the to be dashboard mockup to project sponsor &amp; already got feedback 
7. Already grab aspiration from OS Dept. &amp; they're willing to join as project team member</t>
  </si>
  <si>
    <t>1. Adjust the dashboard mockup as feedback from project sponsor
2. Continue to deliver backlog for PLIS Phase #3 to Sponsor to grab feedback &amp; aspiration</t>
  </si>
  <si>
    <t>Corporate Innovation Learning Module Development &amp; Delivery Training Session</t>
  </si>
  <si>
    <t xml:space="preserve">1. Ageed the outline module
2. Developed first draft 
3. Discuss &amp; grooming the first draft
4. Updated as feedback previous session
5. Uder review by HR
6. Finalization training material related Corporate Innovation with about 60 slide
7. Develop some interactive session using Mentimeter (about 5 slide)
8. Develop pre &amp; post test related wth the Corporate innovation material 
9. Conducted dry run with MSBP Head (24 Oct '25)
10. Delivery the training module related with Corporate Innovation (half day)
</t>
  </si>
  <si>
    <t xml:space="preserve">Site Level Judges Brief &amp; Refreshment </t>
  </si>
  <si>
    <t>1. Developed communcation material to DSPM, SPM &amp; OM All Site
2. Conducted Communication &amp; Set Schedule (Wed, 1 Oct '25)
3. Material already developed
4. Capture safety aspect &amp; already confirmed by HSEC Jkt (Pak Puji &amp; Pak Panca)
5. Some session already conducted for Melak (17 Oct '25), JBG (17 Oct '25) &amp; IMM (21 Oct '25)
6. Conducted refreshemnt session for JKT-IBO Innovation Convention Judges (5 Nov '25)</t>
  </si>
  <si>
    <t>CM 5</t>
  </si>
  <si>
    <t>Change Management for Telephony Facility</t>
  </si>
  <si>
    <t>Progress on Process Owner</t>
  </si>
  <si>
    <r>
      <t xml:space="preserve">BP-Organization Alignment and QMS as aggreed planned </t>
    </r>
    <r>
      <rPr>
        <sz val="11"/>
        <color rgb="FF0070C0"/>
        <rFont val="Aptos Narrow"/>
        <family val="2"/>
        <scheme val="minor"/>
      </rPr>
      <t xml:space="preserve">(based on the poin 4) </t>
    </r>
  </si>
  <si>
    <t>MS 5.21</t>
  </si>
  <si>
    <t>Safety Transformation (TO)</t>
  </si>
  <si>
    <t>ALR, ARS</t>
  </si>
  <si>
    <t>1. Join steerco meeting and any discussion meeting related safety initiatives
2. Collect information from the other sites to understand the current K3KO Structure
3. Identify key concern to confirm the process using PDCA approach
4. Summarize the difference between 2 option and provide initial reccomendation regarding alignment process, roles and accountability between ITM HSEC and sites
5. Review Current Business Process for ITM HSEC
6. Prepare BP overview in 3 version (current, khatulistiwa deliverables, proposed)
7. Conduct initial meeting</t>
  </si>
  <si>
    <t xml:space="preserve">ITM Integrated Management System (TIMES) Establishment and Deployment </t>
  </si>
  <si>
    <t>1.1.</t>
  </si>
  <si>
    <t>ESG Management</t>
  </si>
  <si>
    <t>ASN, RPR</t>
  </si>
  <si>
    <t>1. Already follow-up review result from PO regarding ESG requirements
2. Already update ESG requirements on Canva
3. Already split communication materials ESG requirements into 4 Focus Topics
4. Already finetuning FGD materials
5. Already conduct FGD agenda by PO - GHG Emission &amp; Energy
6. Already follow-up lesson learn for upcoming FGD session
7. Already finetuning FGD materials</t>
  </si>
  <si>
    <t>1. Conduct FGD agenda by PO - OHS, Compliance, Mine Closure
2. start develop the draft of ESG Management Standard
3. conduct communication in deep with 4 focus ESG topics to be developed
4. develop next Project Charter for ESG Management Standard + Others</t>
  </si>
  <si>
    <t>1.2.</t>
  </si>
  <si>
    <t>GHG Emission</t>
  </si>
  <si>
    <t>RPR</t>
  </si>
  <si>
    <t>ASN, ALR</t>
  </si>
  <si>
    <t>1.3.</t>
  </si>
  <si>
    <t>Energy</t>
  </si>
  <si>
    <t>1. Already follow-up review result from PO regarding ESG requirements
2. Already update ESG requirements on Canva
3. Already split communication materials ESG requirements into 4 Focus Topics
4. Already finetuning FGD materials
5. Already conduct FGD agenda by PO - GHG Emission &amp; Energy
6. Already follow-up lesson learn for upcoming FGD session</t>
  </si>
  <si>
    <t>1. monitoring Stakeholder regarding ESG - GHG Emission and Energy Requirement &amp; Indicator Review
2. develop next Project Charter for ESG Management Standard + Others</t>
  </si>
  <si>
    <t>1.4.</t>
  </si>
  <si>
    <t>Occupational Health &amp; Safety</t>
  </si>
  <si>
    <t>1.5.</t>
  </si>
  <si>
    <t>Mine Closure</t>
  </si>
  <si>
    <t>1.6.</t>
  </si>
  <si>
    <t>Compliance</t>
  </si>
  <si>
    <t>1.7.</t>
  </si>
  <si>
    <t>MS Standardization</t>
  </si>
  <si>
    <t>1. Already initiate for the list of provision in develop MS
2. Already prepare for initial draft for MS - Management System Standardization
3. Already provide comments from MSBP side to Management Standard documents</t>
  </si>
  <si>
    <t>1. conduct serial discussion with Consultant through "Nusantara Project"
2. finetuning the standard
3. conduct socialization</t>
  </si>
  <si>
    <t>1.8.</t>
  </si>
  <si>
    <t>Financial Management</t>
  </si>
  <si>
    <t>1. Already initiate for the template draft (excel) for PO in develop MS
2. Already prepare for initial draft for Project Charter
3. Already developed MS draft on excel file
4. Already ensure word format from excel file draft requirements
5. Already finalized the draft of Project Charter
6. Already provide comments from MSBP side to Management Standard documents
7. Already conduct serial discussion with PO
8. Already ensure PO already finetuning - approving - registering on STONES for the draft MS - Employee Advances</t>
  </si>
  <si>
    <t xml:space="preserve">
1. ensure PO already finetuning - approving - registering on STONES for the MS - Financial Management
2. ensure PO already finetuning - approving - registering on STONES for the draft MS - Structure Notes</t>
  </si>
  <si>
    <t>1.9.</t>
  </si>
  <si>
    <t>Data Management</t>
  </si>
  <si>
    <t>1. Handover project</t>
  </si>
  <si>
    <t>Facilitate MS Data Management</t>
  </si>
  <si>
    <t>1.10.</t>
  </si>
  <si>
    <t>Demand Management</t>
  </si>
  <si>
    <t>1. Already conduct meeting MS IT Standardization Discussion &amp; Action Plan to prioritize MS development (2/3/2026)
2. Already facilitate weekly meeting starting from 4/3/2026
3. Already review initial draft to ensure all format meet ITM standard
4. Already suggest grouping content from 20 --&gt; 5 to be more sistematic &amp; finetuning
5. Already provide framework illustration
6. Already add procedures related</t>
  </si>
  <si>
    <t>Continue discussion based on Management Feedback (28 May 2026)</t>
  </si>
  <si>
    <t>1.11.</t>
  </si>
  <si>
    <t>Contractor Management</t>
  </si>
  <si>
    <t>RAR</t>
  </si>
  <si>
    <t>1. Already conduct kick-off for project charter with PO
2. Already identify the needs of governance to be developed with PO
3. Already prepare for MS - Contractor Management as standard template
4. Already conduct alignment sesision with Procurement and HSEC regarding part of Standardization
5. Already conduct alignment sesision with Legal + Mahakam Blueprint + SC SOP regarding part of Standardization
6. Already conduct role play session with related stakeholders
7. Already conduct review session with OPM and MBI Head
8. Already continue follow-up review result from PO + Alignment with other Governance</t>
  </si>
  <si>
    <t>1. conduct circular review &amp; approval for MS documents
2. monitor the SP development</t>
  </si>
  <si>
    <t>ITM Integrated Management System Implementation</t>
  </si>
  <si>
    <t>2.1.</t>
  </si>
  <si>
    <t>QMS Melak (TCM, BEK, TIS, GPK)</t>
  </si>
  <si>
    <t>RAR, DHI, RPR</t>
  </si>
  <si>
    <t>2.2.</t>
  </si>
  <si>
    <t xml:space="preserve">QMS Asset Management </t>
  </si>
  <si>
    <t>Yes</t>
  </si>
  <si>
    <t>2.3.</t>
  </si>
  <si>
    <t xml:space="preserve">QMS Port and Logistic </t>
  </si>
  <si>
    <t>1. Already conduct kick-off for project charter with PO
2. Already identify the needs of governance to be developed with PO</t>
  </si>
  <si>
    <t>2.4.</t>
  </si>
  <si>
    <t>QMS FEM</t>
  </si>
  <si>
    <t>1. Already conduct initial meeting with related PO</t>
  </si>
  <si>
    <t>2.5.</t>
  </si>
  <si>
    <t>QMS TDS</t>
  </si>
  <si>
    <t>2.6.</t>
  </si>
  <si>
    <t>QMS CST</t>
  </si>
  <si>
    <t>2.7.</t>
  </si>
  <si>
    <t>QMS HSEC</t>
  </si>
  <si>
    <t>ALR, RAR, DHI</t>
  </si>
  <si>
    <t>2.8.</t>
  </si>
  <si>
    <t xml:space="preserve">QMS Integrated Mine Planning </t>
  </si>
  <si>
    <t>1. Already initiate for the draft of SOP LOMP &amp; 5-YRP
2. Already get review result from PO
3. Already follow-up the review result of the documents and send to PO
4. Already confirmation to PO regarding follow-up results on SOP
5. Already conduct refreshment meeting regarding Management Standard purpose
6. Already draft for MS - Integrated Mine Planning
7. Already agreed for Role Play Scenarios
8. Already conduct for Role Play Session
9. Already follow-up review MS - Integrated Mine Planning + 2 SOPs from Role Play Session Result 
10. Already approved the Form LOMP &amp; 5YRP and stored in STONES</t>
  </si>
  <si>
    <t>1. ensure the alignment of approval standard with appropriate DOA (Banpu &amp; ITM)
2. follow-up of sircular approval for the Governance</t>
  </si>
  <si>
    <t>2.9.</t>
  </si>
  <si>
    <t xml:space="preserve">QMS Information and Technology </t>
  </si>
  <si>
    <t>2.10</t>
  </si>
  <si>
    <t>QMS Financial Accounting</t>
  </si>
  <si>
    <t>2.11</t>
  </si>
  <si>
    <t>QMS Supply Chain Management (SC, Procurement)</t>
  </si>
  <si>
    <t>RAR, DHI</t>
  </si>
  <si>
    <t>1. Already follow-up for Procurement Management Standard Review Result
2. Already update transaction types of Procurememt (Amendment, New Contract)
3. Already set serial meeting to develop SOP - SHE shipment</t>
  </si>
  <si>
    <t>1. monitor approval Procurement MS + Derivatives
2. ensure communication and alignment MS session conducted by PO
3. Confirmation regarding SOP Shipment - SHE</t>
  </si>
  <si>
    <t>2.12</t>
  </si>
  <si>
    <t>QMS Corsec and Legal</t>
  </si>
  <si>
    <t>2.13</t>
  </si>
  <si>
    <t>QMS HR</t>
  </si>
  <si>
    <t>2.14</t>
  </si>
  <si>
    <t>QMS MSBP (+ Consultant Involvement in Policy, MS Maturity, Assurance Management Review, Internal Audit, Management Review, Change Management, and others from Gap Assessment)</t>
  </si>
  <si>
    <t>ASN, RAR, DHI, RPR</t>
  </si>
  <si>
    <t>1. Finetuning the Flow Process of Government Inspection (Melak version) 
2. Finalize the Flow Process of Government Inspection (MSBP-IMM-MKL)
3. Conduct discussion for Flow Process of Others (IMM version)
4. Progress on discussion of Flow Process NCR Management + Parallel develop SOP
5. Already finalized revision of SOP - TIMES QMS Establishment
6. Already conduct 2nd recap for monitoring progress QMS MSBP + Communicate to PO
7. Already conduct discussion with Melak Site regarding flow process NCR - Others (ESG)</t>
  </si>
  <si>
    <t>1. conduct discussion with Melak Site regarding flow process NCR - Others (AM)
2. develop standard form for validation QMS documents
3. evaluate and enhanced MSBP Governance
provide comments from MSBP side to Management Standard documents
4. conduct serial discussion with Consultant through "Nusantara Project"
5. finetuning the standard
6. conduct socialization</t>
  </si>
  <si>
    <t>2.15</t>
  </si>
  <si>
    <t>QMS D&amp;I</t>
  </si>
  <si>
    <t>ASN, DHI</t>
  </si>
  <si>
    <t>1. Already communicate for the project strategy with PO
2. Already progress develop SOP (10) + SP (5)
3. Already conduct refreshment for MS &amp; BP in D&amp;I Division + share BP template + example
4. Already share project charter
5. Already finalize the BP documents</t>
  </si>
  <si>
    <t xml:space="preserve">1. review draft SOP and derivatives </t>
  </si>
  <si>
    <t>2.16</t>
  </si>
  <si>
    <t xml:space="preserve">ITM QMS Agent Establish.&amp; Deploy (+MS BU). </t>
  </si>
  <si>
    <t>2.17</t>
  </si>
  <si>
    <t xml:space="preserve">Hauling optimization and ROM &amp; stock improvement </t>
  </si>
  <si>
    <t>2.18</t>
  </si>
  <si>
    <t xml:space="preserve">FC stockpile management and loading at port </t>
  </si>
  <si>
    <t>2.19</t>
  </si>
  <si>
    <t>Barging Optimization and Unloading (Barge Cycle time )</t>
  </si>
  <si>
    <t>1. Confirm and update the SOP process flow.
2. Review the two standard parameters and identify any overlapping requirements between them.</t>
  </si>
  <si>
    <t>Waiting confirmation from PO</t>
  </si>
  <si>
    <t>2.20</t>
  </si>
  <si>
    <t>Optimization model – SSO + Support by MS&amp;L</t>
  </si>
  <si>
    <t>2.21</t>
  </si>
  <si>
    <t>Mine Plan / Production Plan Optimization</t>
  </si>
  <si>
    <t>2.22</t>
  </si>
  <si>
    <t>Permit Process</t>
  </si>
  <si>
    <t>2.23</t>
  </si>
  <si>
    <t>1. Already provide draft of MS documents</t>
  </si>
  <si>
    <t>1. review draft of BP documents</t>
  </si>
  <si>
    <t>2.24</t>
  </si>
  <si>
    <t>Contract Management – Heavy Equipment Rental, ROMA</t>
  </si>
  <si>
    <t>2.25</t>
  </si>
  <si>
    <t>Align with Safety Transformation Roadmap</t>
  </si>
  <si>
    <t>2.26</t>
  </si>
  <si>
    <t>Enhance procure to pay (P2P) process on SC</t>
  </si>
  <si>
    <t>1. Already provide draft of SOP documents
2. Already conduct review of the SOP with Finance Function
3. Already conduct review of the SOP with Procurement Function
4. Already conduct SOP review with SC Function</t>
  </si>
  <si>
    <t>1. follow up review result from Function
2. conduct approval to the SOP documents</t>
  </si>
  <si>
    <t>2.27</t>
  </si>
  <si>
    <t>Command and Control Center</t>
  </si>
  <si>
    <t>2.28</t>
  </si>
  <si>
    <t>3rd Party Coal Supply improvement</t>
  </si>
  <si>
    <t>Preparation and certification for ISO 9K (ITM JKT)</t>
  </si>
  <si>
    <t>3.1.</t>
  </si>
  <si>
    <t>Gap Assessment and Reporting</t>
  </si>
  <si>
    <t>1. Already conduct 1st pre-qualification for 4 supplier candidates
2. Already choose the best 2 supplier candidates based on document checklng
3. Already conduct 2nd pre-qualification for 2 supplier candidates (finetuning scope of work) 
4. Already conduct negotiation process
5. Finalize TEVA
6. Already awarding supplier
7. Already conduct BOD Discovery</t>
  </si>
  <si>
    <t>1. conduct gap assessment
2. progress for Contract
3. finetuning timeline and preparation for Kick-Off</t>
  </si>
  <si>
    <t>3.2.</t>
  </si>
  <si>
    <t>Capability and competency development for Assurer (ITM &amp; BU)</t>
  </si>
  <si>
    <t>3.3.</t>
  </si>
  <si>
    <t>Development standards and compliancies</t>
  </si>
  <si>
    <t>3.4.</t>
  </si>
  <si>
    <t>ITM Internal Audit 9K Establishment &amp; Implementation</t>
  </si>
  <si>
    <t>3.5.</t>
  </si>
  <si>
    <t>ITM Management Review Initiation &amp; Establishment</t>
  </si>
  <si>
    <t>3.6.</t>
  </si>
  <si>
    <t>ITM Integrated Management Review Establishment</t>
  </si>
  <si>
    <t>3.7.</t>
  </si>
  <si>
    <t>ITM ISO 9K Certification</t>
  </si>
  <si>
    <t>ITM TIMES CEPAT v.2</t>
  </si>
  <si>
    <t>4.1.</t>
  </si>
  <si>
    <t>TIMES CEPAT Development and Enhancement – NCR Enhancement</t>
  </si>
  <si>
    <t>TIMES CEPAT 1.0
1. Already communicate to all function head, CS Head, and President Director
2. Prepare and blast COMING SOON Poster #1: TIMES CEPAT
3.  Prepare and balast COMING SOON Poster #2: TIMES QAR
4. Prepare go live materials
5. Check readiness system
6. Coordinate with DNI to prepare GO LIVE Session
7. Already conduct go live on 11 March 2026
8. Ensure bank checklist readiness
9. Update setting user management &amp; assurance program table refer to Appointment Letter TIMES QAR
10. Provide 7 matriks Assurance Program based on each site &amp; previous finding
TIMES CEPAT 2.0
1. Prepare requirement (Sprint 1&amp;2)
2. Develop UI/UX and Backlog Grooming (Sprint 1&amp;2)
3. Kick Off Preparation (materials, invitation, etc)
4. Kick Off Meeting (2/2/2026)
5. #1 Sprint Planning, Sprint Review and Retrospective
6. Form and Flow Confirmation with all sites regarding Government Inspection
7. Getting agreement with SD Head regarding additional source "ESG Verification" in NCR
8. Form and Flow Confirmation with SD team regarding ESG Verification
9. Regular Daily Check In and Backlog Grooming
10. #2 Sprint Planning, Sprint Review and Retrospective
12. #3 Sprint Planning, Sprint Review and Retrospective
13. #4 Sprint Planning, Sprint Review and Retrospective
14. Final Showcases NCR Enhancement on 8 May 2026
14. Conduct UAT starting from 27 April 2026 (Progress: 6 sites with 26 issues found)</t>
  </si>
  <si>
    <t>TIMES CEPAT 1.0
Ensure flow process for TIMES QAR Implementation running well
TIMES CEPAT 2.0
- Monitor log issue fixing
- Continue UAT to site TIS and IMM
- Re-test for issue that already fixed by dev team</t>
  </si>
  <si>
    <t>AI Chatbot will be developed by IT team (out of development sprint)</t>
  </si>
  <si>
    <t>4.2.</t>
  </si>
  <si>
    <t>TIMES CEPAT Development and Enhancement – Tier 1</t>
  </si>
  <si>
    <t>1. Getting initial aspiration and recap</t>
  </si>
  <si>
    <t>4.3.</t>
  </si>
  <si>
    <t>TIMES CEPAT Requirement – BANPU</t>
  </si>
  <si>
    <t>1. Regular update progress of TIMES QAR
2. Provide key differences of main flow between QAR Existing vs TIMES QAR
3. Facilitate user account thailand to registration in TIMES CEPAT
4. Guide Banpu team to explore the apps
5. Collaboration to identify any gaps and aspiration</t>
  </si>
  <si>
    <t>Detailing requirements</t>
  </si>
  <si>
    <t xml:space="preserve">STONE/Document Repository Enhancement v.2. </t>
  </si>
  <si>
    <t>5.1.</t>
  </si>
  <si>
    <t>STONES Integration with ITM LEAP</t>
  </si>
  <si>
    <t>ASN, ALR, RPR, RAR</t>
  </si>
  <si>
    <t>5.2.</t>
  </si>
  <si>
    <t>STONES Integration with BU QMS Document Repository</t>
  </si>
  <si>
    <t>Conducted a discussion with Mr. Gibson (ITM Architecture Apps) regarding the overall system architecture alignment.
Conducted a meeting with Mr. Amang to understand and address key concerns related to the integration.
Business and technical requirements have been gathered and documented.
Already support from the MS Team is required to provide strong justification and reasoning on why this development needs to be prioritized and accelerated.
 Send Pak Gibson to Finalize STONES project</t>
  </si>
  <si>
    <t>- Currently analyzing vendor products and determining the priority features/menus to be developed
- Parallel meetings with the IT team</t>
  </si>
  <si>
    <t>DOA Management</t>
  </si>
  <si>
    <t>6.1.</t>
  </si>
  <si>
    <t xml:space="preserve">ITM &amp; BU DOA Agent Establishment </t>
  </si>
  <si>
    <t>1. Already provide the update SOP of DOA</t>
  </si>
  <si>
    <t>1. develop SP - criteria &amp; roles of DOA Agent</t>
  </si>
  <si>
    <t>6.2.</t>
  </si>
  <si>
    <t>DOA &amp; System Enhancement</t>
  </si>
  <si>
    <t>1. Already identify the needs of DOA to be enhanced
2. Already prepare for documents to be reviewed
3. Already communicate the documents to PO, to be enhanced
4. Already enhance the DOA items as agreed plan (SCM)
5. Already review the DOA items to the CS Head
6. Already propose the DOA review to the ITM Related BOD
10. Already finalize DOA SCM with Related BoD and BPM Banpu</t>
  </si>
  <si>
    <t>1. propose LOD review to the ITM MBI Head
2. conduct meeting with AC(D) for DOA General Discussion
3. proposed to BPM Banpu regarding DOA General changes</t>
  </si>
  <si>
    <t>6.3.</t>
  </si>
  <si>
    <t>DOA System Enhancement (Automation User Assistance, e.g., FAQ, etc.)</t>
  </si>
  <si>
    <t>6.4.</t>
  </si>
  <si>
    <t xml:space="preserve">DOA Transaction Advisory </t>
  </si>
  <si>
    <t>1. Already close the DOA matters with Site PO regarding Mine Operation Head Approval
2. Already close the DOA matters with GA regarding PD approval on travelling abroad
3. Already close the DOA matters with Site PO regarding Land Clearing
4. Already close the DOA matters with Site PO regarding AC(B) approval for Mining Contract</t>
  </si>
  <si>
    <t>6.5.</t>
  </si>
  <si>
    <t>DOA Communication &amp; Survey</t>
  </si>
  <si>
    <t xml:space="preserve">ITM Change Management Establishment, Program and Implementation and Deployment </t>
  </si>
  <si>
    <t>7.1.</t>
  </si>
  <si>
    <t xml:space="preserve">Change Management Governance Fullfillment </t>
  </si>
  <si>
    <t>7.2.</t>
  </si>
  <si>
    <t xml:space="preserve">ITM Change Management Practice and activities : ERP Preparation </t>
  </si>
  <si>
    <t>Assurance Management System</t>
  </si>
  <si>
    <t>8.1.</t>
  </si>
  <si>
    <t>ITM Internal Audit for ISO 20001 Surveillance/Resertification</t>
  </si>
  <si>
    <t>8.2.</t>
  </si>
  <si>
    <t>ITM Internal Audit for ISO 27001 Surveillance/Resertification</t>
  </si>
  <si>
    <t>8.3.</t>
  </si>
  <si>
    <t>New Standard TIMES QAR Implementation</t>
  </si>
  <si>
    <t>1. Already develop draft of Assurer Assignment
2. Already conduct 1st meeting with each functions under CS directorate
3. Already conduct meeting with DCC function
4. Already conduct meeting with HSEC function
5. Already update TIMES QAR Plan based on CS-D&amp;I-HSEC meeting</t>
  </si>
  <si>
    <t>1. ensure approval on Assurer Assignment
2. ensure approval on QAR Program</t>
  </si>
  <si>
    <t>8.4.</t>
  </si>
  <si>
    <t>CAR Monitoring (from TIMES QAR Result)</t>
  </si>
  <si>
    <t>1. Recap all finding dengan status "Open" dan "On Progress"
2. Finding yg berasal dari checklist based telah ditambahkan ke TIMES QAR 2026 - Selected Checklist Plan
3. Finding yg berasal dari topic based telah diidentifikasi menggunakan AI untuk menentukan mana TIMES Checklist yang relevan, kemudian ditambahkan ke TIMES QAR 2026 - Selected Checklist Plan
4. Recap TIMES Element berdasarkan all selected checklist untuk referensi pembuatan Assurance Program TIMES QAR 2026
Objective= memastikan hasil TIMES QAR 2024 juga di assure dalam pelaksanaan TIMES QAR 2026 untuk memastikan follow upnya.</t>
  </si>
  <si>
    <t>Waiting for approval of the Assurance Program from Pak Mul.
Once approved, i will assist for completing the Assurance Plan to ensure all findings have been selected and included in the Assurance Checklist.</t>
  </si>
  <si>
    <t>8.5.</t>
  </si>
  <si>
    <t>Enhance ISO 20001 &amp; 27001 for context of Capability Enhancement for Auditor</t>
  </si>
  <si>
    <t>8.6.</t>
  </si>
  <si>
    <t>CS QAR and Follow-up : BANPU-ITM</t>
  </si>
  <si>
    <t>ALR, RPR</t>
  </si>
  <si>
    <t>8.7.</t>
  </si>
  <si>
    <t xml:space="preserve">TIMES QAR Master Data Maintenance </t>
  </si>
  <si>
    <t>Check kesesuaian Bank Checklist antara excel vs TIMES QAR Apps</t>
  </si>
  <si>
    <t xml:space="preserve">Management System Communication </t>
  </si>
  <si>
    <t>1. Prepare MS Communication Plan - 3 Pillars
2. Brainstorming among MSBP Team
3. Drafting 4 motion series and getting feedback in MS Area
4. Design and blast introduction new face of MOTION on 13 May 2026
5. Design and blast #1 MOTION on 15 May 2026</t>
  </si>
  <si>
    <t>Prepare template for topic list</t>
  </si>
  <si>
    <t xml:space="preserve">2026 Consolidate and align the CS Strategic Planning and performance </t>
  </si>
  <si>
    <t>2026 CS Dashboard and Monitoring CS Performance Management Review and follow up action items.</t>
  </si>
  <si>
    <t>, DHI, ALR, RPR</t>
  </si>
  <si>
    <t>Business Process</t>
  </si>
  <si>
    <t xml:space="preserve">Business Process Management on ITM Business Process Highlevel and its implementation </t>
  </si>
  <si>
    <t>RAR,DHI</t>
  </si>
  <si>
    <t>Coal Mining &amp; Services GPK</t>
  </si>
  <si>
    <t>Follow up feedback from KTT for taxonomy process and update for visio</t>
  </si>
  <si>
    <t>Updated taxonomy process and visio to finalize GPK Business process</t>
  </si>
  <si>
    <t>Need confirmation</t>
  </si>
  <si>
    <t>Coal Mining &amp; Services TIS</t>
  </si>
  <si>
    <t>Development referring to TCM-BEK BP is currently in progress</t>
  </si>
  <si>
    <t>Coal Mining &amp; Services NPR</t>
  </si>
  <si>
    <t>SCM CMEE</t>
  </si>
  <si>
    <t>On Progress</t>
  </si>
  <si>
    <t>Start to revisit and update CM business process related with new SOW and alignment result with MS Team</t>
  </si>
  <si>
    <t>Reengineering CM Business process for Contract execution and cost analysis</t>
  </si>
  <si>
    <t>EPM Operation Support</t>
  </si>
  <si>
    <t xml:space="preserve"> Q1-H1</t>
  </si>
  <si>
    <t>SCM Procurement New</t>
  </si>
  <si>
    <t>Finalize P2P Process flow as Mahakam result to ITM standard template</t>
  </si>
  <si>
    <t xml:space="preserve">Collaborate with MS Team to eview P2P SOP with process owner </t>
  </si>
  <si>
    <t xml:space="preserve">Finance Corfin &amp; Treasury </t>
  </si>
  <si>
    <t>Finance Tax</t>
  </si>
  <si>
    <t xml:space="preserve">Finance FA </t>
  </si>
  <si>
    <t>Finance FMC</t>
  </si>
  <si>
    <t>Human Capital Management HR</t>
  </si>
  <si>
    <t xml:space="preserve"> Q3-H1</t>
  </si>
  <si>
    <t xml:space="preserve">Renewable &amp; Others IBP </t>
  </si>
  <si>
    <t>Business Development BD</t>
  </si>
  <si>
    <t>Sustainable Development</t>
  </si>
  <si>
    <t>Digital &amp; Innovation</t>
  </si>
  <si>
    <t>Business Process Optimization, Automation, Control and Design Integration Framework &amp; Develop Platform (LEAP)</t>
  </si>
  <si>
    <t>Conducted alignment meetings with the Enterprise Architecture (EA) team (Mr. Gibson).
Prepared and submitted the required Business Process (BP) documents for EA review and assessment.
'- Scheduled a meeting today at 10:00 AM with Mr. Gibson to further support and refine Business Process identification.
- Support analyze BP end-to-end. Deliver excel files to IT team
Waiting next action from IT team
- Waiting feedback from vendor</t>
  </si>
  <si>
    <t>-
All sales and SC-related data has been provided to the IT team and vendors
Waiting for the vendor to create the flow based on the provided data
Waiting for application access to conduct pre-UAT and ensure the flow matches the requirements</t>
  </si>
  <si>
    <t>EPM TDS</t>
  </si>
  <si>
    <t>Follow up TDS business process revision related to PO feedback and do alignment</t>
  </si>
  <si>
    <t>Finalize TDS BP and share it to HR team</t>
  </si>
  <si>
    <t>Start</t>
  </si>
  <si>
    <t>EPM Forestry Management</t>
  </si>
  <si>
    <t>Sales &amp; Marketing CBIC</t>
  </si>
  <si>
    <t>CBIC is continuously having meetings with the CBIC team regarding the BP (latest discussion focused on planning BP analysis) and is currently creating the flow in Visio
Will continue with the other BPs afterward</t>
  </si>
  <si>
    <t>SCM Logistic (SC)</t>
  </si>
  <si>
    <t>RAR,AWN</t>
  </si>
  <si>
    <t>SC kick-off is scheduled for this week
In parallel, BP development has already started to accelerate the process</t>
  </si>
  <si>
    <t>HSEC</t>
  </si>
  <si>
    <t>HSEC has conducted several meetings to define the taxonomy
The expectation is for their team to complete the taxonomy this week</t>
  </si>
  <si>
    <t>Strategic Mineral Mineral Trading</t>
  </si>
  <si>
    <t>Port &amp; Logistic</t>
  </si>
  <si>
    <t>DHI,AWN</t>
  </si>
  <si>
    <t xml:space="preserve">Convert IBU Port Planning process from Banpu Team to ITM Standard and present it in the meeting </t>
  </si>
  <si>
    <t>Collaborate with Banpu and IBU Team to confirm process for Port Planning and develop in Visio</t>
  </si>
  <si>
    <t xml:space="preserve">Melak Cluster </t>
  </si>
  <si>
    <t>1. BP Lvl 0-3 for TCM/BEK/GPK/TIS/NPR already developed
2. Interaction Process Map for MISO include SIPOC table already developed</t>
  </si>
  <si>
    <t>1. Final review for BP Lvl 0-3 all melak site from KTT
2. Getting confirmation from MISO team for SIPOC Table/Information Map</t>
  </si>
  <si>
    <t>Asset Management</t>
  </si>
  <si>
    <t>Information Technology (BP)</t>
  </si>
  <si>
    <t>Conducted project kick-off session.
Conducted a refreshment session with the IT team regarding the completion of the Business Process (BP) template.
This week, another refreshment session will be conducted with the remaining IT team members to prepare and complete the BP template.
Target date: March 4 – Review and finalize 2 Level 1 Business Processes and 1–2 supporting processes for review with Mr. Gibson and Mr. Eko.</t>
  </si>
  <si>
    <t xml:space="preserve">
IT BP is currently at 71%; this week’s plan is to continue with the other 2 sections (IT Application &amp; Service Operation)</t>
  </si>
  <si>
    <t>Business Process Communication</t>
  </si>
  <si>
    <t>BP - Business Process Improvement</t>
  </si>
  <si>
    <t>1. Join on kick of and TO Meeting with PO
2. Revisit CM BP related with new scope of work and initiatives</t>
  </si>
  <si>
    <t>Review MS Contractor Management with MS team</t>
  </si>
  <si>
    <t xml:space="preserve">Business Process </t>
  </si>
  <si>
    <t>Identify gap variance on 3PC Process and getting information for historical performance dashboard</t>
  </si>
  <si>
    <t>Support on process flow required as needed, Develop Standard Parameter and dashboard</t>
  </si>
  <si>
    <t>Management System and Business Process</t>
  </si>
  <si>
    <t>Management System and Business Process Sharing Knowledge Program (e.g. Benchmark, Sharing)</t>
  </si>
  <si>
    <t>2026 MSBP/SPM/Quality/MS Integration Planning and Alignment Meeting (Include Dashboard KPI MS dan CI)</t>
  </si>
  <si>
    <t>1. Already develop the template of presentation
2. Already send the invitation meeting to SPM.Quality/MS Counterpart
3. Already greetings in group chat + inform regarding the materials presentation
4. Already update material for MS Side
5. Already recap MOM
6. Already finetuning Consolidated KPI &amp; Join Action Plan</t>
  </si>
  <si>
    <t>1. meeting with HSEC to clarify SMKP KPI
2. conduct meeting with DSPM Head each site untuk alignment discussion KPI
3. develop formula of KPI
4. set Monthly Meeting for KPI and Join Action Monitoring &amp; Follow-Up
5. send final deliverables to all stakeholders</t>
  </si>
  <si>
    <t>Quality/SPM/MSBP Coordination Meeting</t>
  </si>
  <si>
    <t>Monthly meeting</t>
  </si>
  <si>
    <t>MSBP Portal Sharepoint</t>
  </si>
  <si>
    <t xml:space="preserve">MSBP Survey </t>
  </si>
  <si>
    <t>MSBP System Enhancement</t>
  </si>
  <si>
    <t>MSBP Project dashboard</t>
  </si>
  <si>
    <t>CS Performance Dashboard</t>
  </si>
  <si>
    <t>Conducted analysis and configured the dashboard structure.
Build template
Finalizing the master KPI data.
Remapping the alignment and linkage between department-level KPIs and CS-level KPIs to ensure consistency and proper cascading.</t>
  </si>
  <si>
    <t>Finalizing the master KPI data</t>
  </si>
  <si>
    <t>STONES enhancement</t>
  </si>
  <si>
    <t>Sama IT</t>
  </si>
  <si>
    <t>LEAP</t>
  </si>
  <si>
    <t>MSBP Sharepoint</t>
  </si>
  <si>
    <t xml:space="preserve"> </t>
  </si>
  <si>
    <t>Name</t>
  </si>
  <si>
    <t>Email</t>
  </si>
  <si>
    <t>ratih_putri@banpuindo.co.id</t>
  </si>
  <si>
    <t>dhany_indraswara@banpuindo.co.id</t>
  </si>
  <si>
    <t>bella_yolanda@banpuindo.co.id</t>
  </si>
  <si>
    <t>andri_s@banpuindo.co.id</t>
  </si>
  <si>
    <t>reza_suryawardhana@banpuindo.co.id</t>
  </si>
  <si>
    <t>aldy_rienaldy@banpuindo.co.id</t>
  </si>
  <si>
    <t>aditya_r@banpuindo.co.id</t>
  </si>
  <si>
    <t>afrizon_afrizon@banpuindo.co.id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</si>
</sst>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d\-mmm\-yy;@"/>
    <numFmt numFmtId="165" formatCode="_(&quot;$&quot;* #,##0_);_(&quot;$&quot;* \(#,##0\);_(&quot;$&quot;* &quot;-&quot;??_);_(@_)"/>
    <numFmt numFmtId="167" formatCode="m/d/yy;@"/>
    <numFmt numFmtId="168" formatCode="[$-409]dd\-mmm\-yy;@"/>
  </numFmts>
  <fonts count="24" x14ac:knownFonts="1">
    <font>
      <sz val="11"/>
      <color theme="1"/>
      <name val="Aptos Narrow"/>
      <family val="2"/>
      <scheme val="minor"/>
    </font>
    <font>
      <sz val="11"/>
      <color theme="1"/>
      <name val="Aptos Narrow"/>
      <family val="2"/>
      <scheme val="minor"/>
    </font>
    <font>
      <b/>
      <sz val="11"/>
      <color theme="0"/>
      <name val="Aptos Narrow"/>
      <family val="2"/>
      <scheme val="minor"/>
    </font>
    <font>
      <u/>
      <sz val="11"/>
      <color theme="10"/>
      <name val="Aptos Narrow"/>
      <family val="2"/>
      <scheme val="minor"/>
    </font>
    <font>
      <sz val="11"/>
      <name val="Aptos Narrow"/>
      <family val="2"/>
      <scheme val="minor"/>
    </font>
    <font>
      <sz val="8"/>
      <name val="Aptos Narrow"/>
      <family val="2"/>
      <scheme val="minor"/>
    </font>
    <font>
      <sz val="10"/>
      <color rgb="FF000000"/>
      <name val="Arial"/>
      <family val="2"/>
    </font>
    <font>
      <sz val="8"/>
      <color rgb="FF000000"/>
      <name val="Arial"/>
      <family val="2"/>
    </font>
    <font>
      <sz val="8"/>
      <color rgb="FF0070C0"/>
      <name val="Arial"/>
      <family val="2"/>
    </font>
    <font>
      <sz val="8"/>
      <color theme="1"/>
      <name val="Arial"/>
      <family val="2"/>
    </font>
    <font>
      <b/>
      <sz val="8"/>
      <color theme="0"/>
      <name val="Arial"/>
      <family val="2"/>
    </font>
    <font>
      <b/>
      <sz val="8"/>
      <name val="Arial"/>
      <family val="2"/>
    </font>
    <font>
      <u/>
      <sz val="8"/>
      <color theme="10"/>
      <name val="Arial"/>
      <family val="2"/>
    </font>
    <font>
      <sz val="8"/>
      <name val="Arial"/>
      <family val="2"/>
    </font>
    <font>
      <sz val="8"/>
      <color theme="10"/>
      <name val="Arial"/>
      <family val="2"/>
    </font>
    <font>
      <i/>
      <sz val="8"/>
      <color theme="1"/>
      <name val="Arial"/>
      <family val="2"/>
    </font>
    <font>
      <sz val="8"/>
      <color theme="1"/>
      <name val="Arial"/>
      <family val="2"/>
    </font>
    <font>
      <sz val="8"/>
      <color theme="0"/>
      <name val="Arial"/>
      <family val="2"/>
    </font>
    <font>
      <b/>
      <sz val="8"/>
      <color rgb="FF000000"/>
      <name val="Arial"/>
      <family val="2"/>
    </font>
    <font>
      <b/>
      <sz val="8"/>
      <color theme="1"/>
      <name val="Arial"/>
      <family val="2"/>
    </font>
    <font>
      <i/>
      <sz val="8"/>
      <color rgb="FFFF0000"/>
      <name val="Arial"/>
      <family val="2"/>
    </font>
    <font>
      <b/>
      <sz val="8"/>
      <color rgb="FFFF0000"/>
      <name val="Arial"/>
      <family val="2"/>
    </font>
    <font>
      <b/>
      <sz val="11"/>
      <color theme="1"/>
      <name val="Aptos Narrow"/>
      <family val="2"/>
      <scheme val="minor"/>
    </font>
    <font>
      <sz val="11"/>
      <color rgb="FF0070C0"/>
      <name val="Aptos Narrow"/>
      <family val="2"/>
      <scheme val="minor"/>
    </font>
  </fonts>
  <fills count="17">
    <fill>
      <patternFill patternType="none"/>
    </fill>
    <fill>
      <patternFill patternType="gray125"/>
    </fill>
    <fill>
      <patternFill patternType="solid">
        <fgColor rgb="FF0070C0"/>
        <bgColor theme="4"/>
      </patternFill>
    </fill>
    <fill>
      <patternFill patternType="solid">
        <fgColor theme="4" tint="0.79998168889431442"/>
        <bgColor indexed="64"/>
      </patternFill>
    </fill>
    <fill>
      <patternFill patternType="solid">
        <fgColor rgb="FF0070C0"/>
        <bgColor indexed="64"/>
      </patternFill>
    </fill>
    <fill>
      <patternFill patternType="solid">
        <fgColor rgb="FFFF7575"/>
        <bgColor indexed="64"/>
      </patternFill>
    </fill>
    <fill>
      <patternFill patternType="solid">
        <fgColor theme="6" tint="0.59999389629810485"/>
        <bgColor indexed="64"/>
      </patternFill>
    </fill>
    <fill>
      <patternFill patternType="solid">
        <fgColor rgb="FFFFC0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00B050"/>
        <bgColor theme="4"/>
      </patternFill>
    </fill>
    <fill>
      <patternFill patternType="solid">
        <fgColor rgb="FFFFFF00"/>
        <bgColor indexed="64"/>
      </patternFill>
    </fill>
    <fill>
      <patternFill patternType="solid">
        <fgColor rgb="FFC6E0B4"/>
        <bgColor indexed="64"/>
      </patternFill>
    </fill>
    <fill>
      <patternFill patternType="solid">
        <fgColor theme="0"/>
        <bgColor indexed="64"/>
      </patternFill>
    </fill>
    <fill>
      <patternFill patternType="solid">
        <fgColor rgb="FFFFFFFF"/>
        <bgColor indexed="64"/>
      </patternFill>
    </fill>
    <fill>
      <patternFill patternType="solid">
        <fgColor theme="8" tint="0.79998168889431442"/>
        <bgColor indexed="64"/>
      </patternFill>
    </fill>
  </fills>
  <borders count="16">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medium">
        <color theme="0" tint="-0.14996795556505021"/>
      </top>
      <bottom style="medium">
        <color theme="0" tint="-0.14996795556505021"/>
      </bottom>
      <diagonal/>
    </border>
    <border>
      <left/>
      <right style="thin">
        <color theme="0" tint="-0.34998626667073579"/>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diagonal/>
    </border>
    <border>
      <left style="thin">
        <color theme="0" tint="-0.34998626667073579"/>
      </left>
      <right style="thin">
        <color theme="0" tint="-0.249977111117893"/>
      </right>
      <top/>
      <bottom style="thin">
        <color indexed="64"/>
      </bottom>
      <diagonal/>
    </border>
    <border>
      <left/>
      <right/>
      <top style="thin">
        <color theme="4"/>
      </top>
      <bottom style="double">
        <color theme="4"/>
      </bottom>
      <diagonal/>
    </border>
  </borders>
  <cellStyleXfs count="9">
    <xf numFmtId="0" fontId="0" fillId="0" borderId="0"/>
    <xf numFmtId="9" fontId="1" fillId="0" borderId="0" applyFont="0" applyFill="0" applyBorder="0" applyAlignment="0" applyProtection="0"/>
    <xf numFmtId="0" fontId="1" fillId="0" borderId="0"/>
    <xf numFmtId="0" fontId="3" fillId="0" borderId="0" applyNumberFormat="0" applyFill="0" applyBorder="0" applyAlignment="0" applyProtection="0"/>
    <xf numFmtId="9" fontId="1" fillId="0" borderId="0" applyFont="0" applyFill="0" applyBorder="0" applyAlignment="0" applyProtection="0"/>
    <xf numFmtId="0" fontId="6" fillId="0" borderId="0"/>
    <xf numFmtId="0" fontId="1" fillId="0" borderId="0"/>
    <xf numFmtId="167" fontId="1" fillId="0" borderId="10" applyFill="0">
      <alignment horizontal="center" vertical="center"/>
    </xf>
    <xf numFmtId="0" fontId="22" fillId="0" borderId="15" applyNumberFormat="0" applyFill="0" applyAlignment="0" applyProtection="0"/>
  </cellStyleXfs>
  <cellXfs count="153">
    <xf numFmtId="0" fontId="0" fillId="0" borderId="0" xfId="0"/>
    <xf numFmtId="0" fontId="2" fillId="4" borderId="0" xfId="0" applyFont="1" applyFill="1" applyAlignment="1">
      <alignment horizontal="center" vertical="center"/>
    </xf>
    <xf numFmtId="0" fontId="0" fillId="5" borderId="0" xfId="0" applyFill="1"/>
    <xf numFmtId="0" fontId="0" fillId="6" borderId="0" xfId="0" applyFill="1"/>
    <xf numFmtId="0" fontId="0" fillId="7" borderId="0" xfId="0" applyFill="1"/>
    <xf numFmtId="0" fontId="4" fillId="8" borderId="0" xfId="0" applyFont="1" applyFill="1"/>
    <xf numFmtId="165" fontId="0" fillId="0" borderId="0" xfId="0" applyNumberFormat="1"/>
    <xf numFmtId="0" fontId="7" fillId="0" borderId="1" xfId="5" applyFont="1" applyBorder="1" applyAlignment="1">
      <alignment horizontal="left" vertical="center" wrapText="1"/>
    </xf>
    <xf numFmtId="0" fontId="3" fillId="0" borderId="0" xfId="3"/>
    <xf numFmtId="0" fontId="7" fillId="0" borderId="1" xfId="5" applyFont="1" applyBorder="1" applyAlignment="1">
      <alignment horizontal="center" vertical="center"/>
    </xf>
    <xf numFmtId="0" fontId="9" fillId="0" borderId="0" xfId="0" applyFont="1" applyAlignment="1">
      <alignment horizontal="center" vertical="center"/>
    </xf>
    <xf numFmtId="0" fontId="10" fillId="2" borderId="4" xfId="2" applyFont="1" applyFill="1" applyBorder="1" applyAlignment="1">
      <alignment horizontal="center" vertical="center"/>
    </xf>
    <xf numFmtId="0" fontId="10" fillId="2" borderId="5" xfId="2" applyFont="1" applyFill="1" applyBorder="1" applyAlignment="1">
      <alignment horizontal="center" vertical="center" wrapText="1"/>
    </xf>
    <xf numFmtId="0" fontId="10" fillId="2" borderId="5" xfId="2" applyFont="1" applyFill="1" applyBorder="1" applyAlignment="1">
      <alignment horizontal="center" vertical="center"/>
    </xf>
    <xf numFmtId="9" fontId="10" fillId="2" borderId="5" xfId="1" applyFont="1" applyFill="1" applyBorder="1" applyAlignment="1">
      <alignment horizontal="center" vertical="center" wrapText="1"/>
    </xf>
    <xf numFmtId="1" fontId="10" fillId="2" borderId="5" xfId="2" applyNumberFormat="1" applyFont="1" applyFill="1" applyBorder="1" applyAlignment="1">
      <alignment horizontal="center" vertical="center" wrapText="1"/>
    </xf>
    <xf numFmtId="0" fontId="10" fillId="11" borderId="5" xfId="2" applyFont="1" applyFill="1" applyBorder="1" applyAlignment="1">
      <alignment horizontal="center" vertical="center" wrapText="1"/>
    </xf>
    <xf numFmtId="0" fontId="9" fillId="0" borderId="7" xfId="0" applyFont="1" applyBorder="1" applyAlignment="1">
      <alignment horizontal="center" vertical="center"/>
    </xf>
    <xf numFmtId="0" fontId="9" fillId="0" borderId="3" xfId="0" applyFont="1" applyBorder="1" applyAlignment="1">
      <alignment horizontal="left" vertical="center" wrapText="1"/>
    </xf>
    <xf numFmtId="0" fontId="7" fillId="0" borderId="3" xfId="5" applyFont="1" applyBorder="1" applyAlignment="1">
      <alignment horizontal="left" vertical="center" wrapText="1"/>
    </xf>
    <xf numFmtId="0" fontId="9" fillId="0" borderId="3" xfId="0" applyFont="1" applyBorder="1" applyAlignment="1">
      <alignment horizontal="center" vertical="center" wrapText="1"/>
    </xf>
    <xf numFmtId="0" fontId="9" fillId="0" borderId="3" xfId="0" applyFont="1" applyBorder="1" applyAlignment="1">
      <alignment horizontal="left" vertical="center"/>
    </xf>
    <xf numFmtId="9" fontId="11" fillId="3" borderId="3" xfId="1" applyFont="1" applyFill="1" applyBorder="1" applyAlignment="1">
      <alignment horizontal="center" vertical="center"/>
    </xf>
    <xf numFmtId="164" fontId="9" fillId="0" borderId="3" xfId="0" applyNumberFormat="1" applyFont="1" applyBorder="1" applyAlignment="1">
      <alignment horizontal="center" vertical="center"/>
    </xf>
    <xf numFmtId="0" fontId="9" fillId="0" borderId="3" xfId="0" applyFont="1" applyBorder="1" applyAlignment="1">
      <alignment horizontal="center" vertical="center"/>
    </xf>
    <xf numFmtId="0" fontId="12" fillId="0" borderId="3" xfId="3" applyFont="1" applyBorder="1" applyAlignment="1">
      <alignment horizontal="center" vertical="center"/>
    </xf>
    <xf numFmtId="0" fontId="12" fillId="0" borderId="3" xfId="3" applyFont="1" applyBorder="1" applyAlignment="1">
      <alignment horizontal="left" vertical="center"/>
    </xf>
    <xf numFmtId="0" fontId="12" fillId="0" borderId="8" xfId="3" applyFont="1" applyBorder="1" applyAlignment="1">
      <alignment horizontal="left" vertical="center"/>
    </xf>
    <xf numFmtId="0" fontId="9" fillId="0" borderId="3" xfId="6" applyFont="1" applyBorder="1" applyAlignment="1">
      <alignment vertical="center" wrapText="1"/>
    </xf>
    <xf numFmtId="0" fontId="7" fillId="0" borderId="3" xfId="5" applyFont="1" applyBorder="1" applyAlignment="1">
      <alignment horizontal="center" vertical="center"/>
    </xf>
    <xf numFmtId="0" fontId="9" fillId="0" borderId="0" xfId="0" applyFont="1" applyAlignment="1">
      <alignment horizontal="left" vertical="center" wrapText="1"/>
    </xf>
    <xf numFmtId="0" fontId="9" fillId="0" borderId="0" xfId="0" applyFont="1" applyAlignment="1">
      <alignment horizontal="center" vertical="center" wrapText="1"/>
    </xf>
    <xf numFmtId="0" fontId="7" fillId="0" borderId="0" xfId="5" applyFont="1" applyAlignment="1">
      <alignment horizontal="center" vertical="center"/>
    </xf>
    <xf numFmtId="0" fontId="9" fillId="0" borderId="0" xfId="0" applyFont="1" applyAlignment="1">
      <alignment horizontal="left" vertical="center"/>
    </xf>
    <xf numFmtId="0" fontId="7" fillId="0" borderId="1" xfId="6" applyFont="1" applyBorder="1" applyAlignment="1">
      <alignment vertical="center" wrapText="1"/>
    </xf>
    <xf numFmtId="0" fontId="9" fillId="0" borderId="2" xfId="6" applyFont="1" applyBorder="1" applyAlignment="1">
      <alignment vertical="center" wrapText="1"/>
    </xf>
    <xf numFmtId="0" fontId="10" fillId="11" borderId="6" xfId="2" applyFont="1" applyFill="1" applyBorder="1" applyAlignment="1">
      <alignment horizontal="left" vertical="center" wrapText="1"/>
    </xf>
    <xf numFmtId="0" fontId="9" fillId="0" borderId="8" xfId="0" applyFont="1" applyBorder="1" applyAlignment="1">
      <alignment horizontal="left" vertical="center"/>
    </xf>
    <xf numFmtId="0" fontId="7" fillId="0" borderId="1" xfId="5" applyFont="1" applyBorder="1" applyAlignment="1">
      <alignment horizontal="center" vertical="center" wrapText="1"/>
    </xf>
    <xf numFmtId="0" fontId="7" fillId="12" borderId="2" xfId="6" applyFont="1" applyFill="1" applyBorder="1" applyAlignment="1">
      <alignment horizontal="left" vertical="center" wrapText="1"/>
    </xf>
    <xf numFmtId="9" fontId="13" fillId="0" borderId="1" xfId="5" applyNumberFormat="1" applyFont="1" applyBorder="1" applyAlignment="1">
      <alignment horizontal="center" vertical="center"/>
    </xf>
    <xf numFmtId="0" fontId="7" fillId="0" borderId="2" xfId="6" applyFont="1" applyBorder="1" applyAlignment="1">
      <alignment horizontal="left" vertical="center" wrapText="1"/>
    </xf>
    <xf numFmtId="0" fontId="7" fillId="0" borderId="3" xfId="5" applyFont="1" applyBorder="1" applyAlignment="1">
      <alignment horizontal="center" vertical="center" wrapText="1"/>
    </xf>
    <xf numFmtId="0" fontId="9" fillId="13" borderId="3" xfId="6" applyFont="1" applyFill="1" applyBorder="1" applyAlignment="1">
      <alignment vertical="center" wrapText="1"/>
    </xf>
    <xf numFmtId="0" fontId="7" fillId="12" borderId="1" xfId="6" applyFont="1" applyFill="1" applyBorder="1" applyAlignment="1">
      <alignment vertical="center" wrapText="1"/>
    </xf>
    <xf numFmtId="9" fontId="13" fillId="12" borderId="1" xfId="5" applyNumberFormat="1" applyFont="1" applyFill="1" applyBorder="1" applyAlignment="1">
      <alignment horizontal="center" vertical="center"/>
    </xf>
    <xf numFmtId="0" fontId="12" fillId="0" borderId="3" xfId="3" applyNumberFormat="1" applyFont="1" applyBorder="1" applyAlignment="1">
      <alignment horizontal="left" vertical="center"/>
    </xf>
    <xf numFmtId="0" fontId="12" fillId="0" borderId="8" xfId="3" applyNumberFormat="1" applyFont="1" applyBorder="1" applyAlignment="1">
      <alignment horizontal="left" vertical="center"/>
    </xf>
    <xf numFmtId="0" fontId="14" fillId="0" borderId="8" xfId="3" applyNumberFormat="1" applyFont="1" applyBorder="1" applyAlignment="1">
      <alignment horizontal="left" vertical="center"/>
    </xf>
    <xf numFmtId="0" fontId="3" fillId="0" borderId="3" xfId="3" applyBorder="1" applyAlignment="1">
      <alignment horizontal="center" vertical="center"/>
    </xf>
    <xf numFmtId="0" fontId="9" fillId="0" borderId="3" xfId="0" quotePrefix="1" applyFont="1" applyBorder="1" applyAlignment="1">
      <alignment horizontal="left" vertical="center" wrapText="1"/>
    </xf>
    <xf numFmtId="0" fontId="9" fillId="0" borderId="2" xfId="6" applyFont="1" applyBorder="1" applyAlignment="1">
      <alignment horizontal="center" vertical="center" wrapText="1"/>
    </xf>
    <xf numFmtId="2" fontId="9" fillId="0" borderId="2" xfId="6" applyNumberFormat="1" applyFont="1" applyBorder="1" applyAlignment="1">
      <alignment horizontal="center" vertical="center" wrapText="1"/>
    </xf>
    <xf numFmtId="0" fontId="7" fillId="0" borderId="2" xfId="6" applyFont="1" applyBorder="1" applyAlignment="1">
      <alignment horizontal="center" vertical="center" wrapText="1"/>
    </xf>
    <xf numFmtId="0" fontId="7" fillId="0" borderId="0" xfId="6" applyFont="1" applyAlignment="1">
      <alignment horizontal="center" vertical="center" wrapText="1"/>
    </xf>
    <xf numFmtId="0" fontId="7" fillId="0" borderId="1" xfId="6" applyFont="1" applyBorder="1" applyAlignment="1">
      <alignment horizontal="center" vertical="center" wrapText="1"/>
    </xf>
    <xf numFmtId="0" fontId="12" fillId="0" borderId="7" xfId="3" applyFont="1" applyBorder="1" applyAlignment="1">
      <alignment horizontal="left" vertical="center"/>
    </xf>
    <xf numFmtId="0" fontId="15" fillId="0" borderId="3" xfId="0" applyFont="1" applyBorder="1" applyAlignment="1">
      <alignment horizontal="left" vertical="center" wrapText="1"/>
    </xf>
    <xf numFmtId="0" fontId="9" fillId="14" borderId="3" xfId="6" applyFont="1" applyFill="1" applyBorder="1" applyAlignment="1">
      <alignment vertical="center" wrapText="1"/>
    </xf>
    <xf numFmtId="0" fontId="7" fillId="14" borderId="1" xfId="6" applyFont="1" applyFill="1" applyBorder="1" applyAlignment="1">
      <alignment vertical="center" wrapText="1"/>
    </xf>
    <xf numFmtId="20" fontId="9" fillId="0" borderId="3" xfId="0" applyNumberFormat="1" applyFont="1" applyBorder="1" applyAlignment="1">
      <alignment horizontal="left" vertical="center" wrapText="1"/>
    </xf>
    <xf numFmtId="0" fontId="9" fillId="0" borderId="3" xfId="0" quotePrefix="1" applyFont="1" applyBorder="1" applyAlignment="1">
      <alignment horizontal="left" vertical="center"/>
    </xf>
    <xf numFmtId="0" fontId="9" fillId="12" borderId="3" xfId="0" applyFont="1" applyFill="1" applyBorder="1" applyAlignment="1">
      <alignment horizontal="center" vertical="center" wrapText="1"/>
    </xf>
    <xf numFmtId="0" fontId="9" fillId="12" borderId="3" xfId="6" applyFont="1" applyFill="1" applyBorder="1" applyAlignment="1">
      <alignment vertical="center" wrapText="1"/>
    </xf>
    <xf numFmtId="0" fontId="9" fillId="0" borderId="3" xfId="6" applyFont="1" applyBorder="1" applyAlignment="1">
      <alignment horizontal="left" vertical="center" wrapText="1"/>
    </xf>
    <xf numFmtId="164" fontId="13" fillId="0" borderId="3" xfId="5" applyNumberFormat="1" applyFont="1" applyBorder="1" applyAlignment="1">
      <alignment horizontal="center" vertical="center"/>
    </xf>
    <xf numFmtId="0" fontId="9" fillId="12" borderId="7" xfId="6" applyFont="1" applyFill="1" applyBorder="1" applyAlignment="1">
      <alignment horizontal="left" vertical="center" wrapText="1"/>
    </xf>
    <xf numFmtId="0" fontId="7" fillId="12" borderId="7" xfId="5" applyFont="1" applyFill="1" applyBorder="1" applyAlignment="1">
      <alignment horizontal="left" vertical="center" wrapText="1"/>
    </xf>
    <xf numFmtId="0" fontId="7" fillId="0" borderId="7" xfId="5" applyFont="1" applyBorder="1" applyAlignment="1">
      <alignment horizontal="left" vertical="center" wrapText="1"/>
    </xf>
    <xf numFmtId="0" fontId="13" fillId="0" borderId="9" xfId="2" applyFont="1" applyBorder="1" applyAlignment="1">
      <alignment horizontal="left" vertical="center" wrapText="1"/>
    </xf>
    <xf numFmtId="0" fontId="7" fillId="12" borderId="3" xfId="5" applyFont="1" applyFill="1" applyBorder="1" applyAlignment="1">
      <alignment horizontal="left" vertical="center" wrapText="1"/>
    </xf>
    <xf numFmtId="0" fontId="9" fillId="0" borderId="11" xfId="0" applyFont="1" applyBorder="1" applyAlignment="1">
      <alignment horizontal="center" vertical="center"/>
    </xf>
    <xf numFmtId="0" fontId="9" fillId="0" borderId="12" xfId="0" applyFont="1" applyBorder="1" applyAlignment="1">
      <alignment horizontal="left" vertical="center" wrapText="1"/>
    </xf>
    <xf numFmtId="0" fontId="9" fillId="0" borderId="13" xfId="0" applyFont="1" applyBorder="1" applyAlignment="1">
      <alignment horizontal="left" vertical="center" wrapText="1"/>
    </xf>
    <xf numFmtId="0" fontId="7" fillId="0" borderId="12" xfId="5" applyFont="1" applyBorder="1" applyAlignment="1">
      <alignment horizontal="center" vertical="center" wrapText="1"/>
    </xf>
    <xf numFmtId="0" fontId="9" fillId="0" borderId="12" xfId="0" applyFont="1" applyBorder="1" applyAlignment="1">
      <alignment horizontal="center" vertical="center" wrapText="1"/>
    </xf>
    <xf numFmtId="164" fontId="9" fillId="0" borderId="12" xfId="0" applyNumberFormat="1" applyFont="1" applyBorder="1" applyAlignment="1">
      <alignment horizontal="center" vertical="center"/>
    </xf>
    <xf numFmtId="0" fontId="9" fillId="0" borderId="12" xfId="0" applyFont="1" applyBorder="1" applyAlignment="1">
      <alignment horizontal="center" vertical="center"/>
    </xf>
    <xf numFmtId="0" fontId="12" fillId="0" borderId="12" xfId="3" applyNumberFormat="1" applyFont="1" applyBorder="1" applyAlignment="1">
      <alignment horizontal="left" vertical="center"/>
    </xf>
    <xf numFmtId="0" fontId="12" fillId="0" borderId="13" xfId="3" applyNumberFormat="1" applyFont="1" applyBorder="1" applyAlignment="1">
      <alignment horizontal="left" vertical="center"/>
    </xf>
    <xf numFmtId="0" fontId="9" fillId="0" borderId="13" xfId="0" applyFont="1" applyBorder="1" applyAlignment="1">
      <alignment horizontal="left" vertical="center"/>
    </xf>
    <xf numFmtId="0" fontId="12" fillId="0" borderId="11" xfId="3" applyFont="1" applyBorder="1" applyAlignment="1">
      <alignment horizontal="left" vertical="center"/>
    </xf>
    <xf numFmtId="0" fontId="7" fillId="14" borderId="7" xfId="6" applyFont="1" applyFill="1" applyBorder="1" applyAlignment="1">
      <alignment horizontal="left" vertical="center" wrapText="1"/>
    </xf>
    <xf numFmtId="0" fontId="7" fillId="14" borderId="7" xfId="5" applyFont="1" applyFill="1" applyBorder="1" applyAlignment="1">
      <alignment horizontal="left" vertical="center" wrapText="1"/>
    </xf>
    <xf numFmtId="9" fontId="11" fillId="3" borderId="12" xfId="0" applyNumberFormat="1" applyFont="1" applyFill="1" applyBorder="1" applyAlignment="1">
      <alignment horizontal="center" vertical="center"/>
    </xf>
    <xf numFmtId="0" fontId="13" fillId="0" borderId="3" xfId="2" applyFont="1" applyBorder="1" applyAlignment="1">
      <alignment horizontal="center" vertical="center"/>
    </xf>
    <xf numFmtId="0" fontId="7" fillId="0" borderId="3" xfId="0" applyFont="1" applyBorder="1" applyAlignment="1">
      <alignment horizontal="left" vertical="center" wrapText="1"/>
    </xf>
    <xf numFmtId="0" fontId="7" fillId="15" borderId="0" xfId="0" applyFont="1" applyFill="1" applyAlignment="1">
      <alignment wrapText="1"/>
    </xf>
    <xf numFmtId="0" fontId="7" fillId="15" borderId="0" xfId="0" applyFont="1" applyFill="1"/>
    <xf numFmtId="0" fontId="7" fillId="0" borderId="3" xfId="0" quotePrefix="1" applyFont="1" applyBorder="1" applyAlignment="1">
      <alignment horizontal="left" vertical="center" wrapText="1"/>
    </xf>
    <xf numFmtId="0" fontId="16" fillId="0" borderId="0" xfId="0" applyFont="1" applyAlignment="1">
      <alignment horizontal="center" vertical="center"/>
    </xf>
    <xf numFmtId="0" fontId="9" fillId="12" borderId="3" xfId="0" applyFont="1" applyFill="1" applyBorder="1" applyAlignment="1">
      <alignment horizontal="left" vertical="center" wrapText="1"/>
    </xf>
    <xf numFmtId="0" fontId="9" fillId="12" borderId="8" xfId="0" applyFont="1" applyFill="1" applyBorder="1" applyAlignment="1">
      <alignment horizontal="left" vertical="center" wrapText="1"/>
    </xf>
    <xf numFmtId="0" fontId="7" fillId="12" borderId="1" xfId="6" applyFont="1" applyFill="1" applyBorder="1" applyAlignment="1">
      <alignment horizontal="center" vertical="center" wrapText="1"/>
    </xf>
    <xf numFmtId="0" fontId="7" fillId="12" borderId="3" xfId="5" applyFont="1" applyFill="1" applyBorder="1" applyAlignment="1">
      <alignment horizontal="center" vertical="center" wrapText="1"/>
    </xf>
    <xf numFmtId="0" fontId="9" fillId="0" borderId="8" xfId="0" applyFont="1" applyBorder="1" applyAlignment="1">
      <alignment horizontal="left" vertical="center" wrapText="1"/>
    </xf>
    <xf numFmtId="9" fontId="11" fillId="0" borderId="3" xfId="1" applyFont="1" applyFill="1" applyBorder="1" applyAlignment="1">
      <alignment horizontal="center" vertical="center"/>
    </xf>
    <xf numFmtId="0" fontId="12" fillId="0" borderId="3" xfId="3" applyNumberFormat="1" applyFont="1" applyFill="1" applyBorder="1" applyAlignment="1">
      <alignment horizontal="left" vertical="center"/>
    </xf>
    <xf numFmtId="0" fontId="12" fillId="0" borderId="8" xfId="3" applyNumberFormat="1" applyFont="1" applyFill="1" applyBorder="1" applyAlignment="1">
      <alignment horizontal="left" vertical="center"/>
    </xf>
    <xf numFmtId="0" fontId="12" fillId="0" borderId="7" xfId="3" applyFont="1" applyFill="1" applyBorder="1" applyAlignment="1">
      <alignment horizontal="left" vertical="center"/>
    </xf>
    <xf numFmtId="0" fontId="9" fillId="0" borderId="14" xfId="0" applyFont="1" applyBorder="1" applyAlignment="1">
      <alignment horizontal="center" vertical="center" wrapText="1"/>
    </xf>
    <xf numFmtId="0" fontId="13" fillId="0" borderId="3" xfId="2" applyFont="1" applyBorder="1" applyAlignment="1">
      <alignment horizontal="left" vertical="center" wrapText="1"/>
    </xf>
    <xf numFmtId="0" fontId="7" fillId="14" borderId="2" xfId="6" applyFont="1" applyFill="1" applyBorder="1" applyAlignment="1">
      <alignment horizontal="left" vertical="center" wrapText="1"/>
    </xf>
    <xf numFmtId="0" fontId="7" fillId="12" borderId="7" xfId="6" applyFont="1" applyFill="1" applyBorder="1" applyAlignment="1">
      <alignment horizontal="left" vertical="center" wrapText="1"/>
    </xf>
    <xf numFmtId="0" fontId="9" fillId="0" borderId="3" xfId="0" quotePrefix="1" applyFont="1" applyBorder="1" applyAlignment="1">
      <alignment horizontal="center" vertical="center" wrapText="1"/>
    </xf>
    <xf numFmtId="0" fontId="17" fillId="14" borderId="3" xfId="0" applyFont="1" applyFill="1" applyBorder="1" applyAlignment="1">
      <alignment horizontal="center" vertical="center" wrapText="1"/>
    </xf>
    <xf numFmtId="0" fontId="13" fillId="0" borderId="3" xfId="2" applyFont="1" applyBorder="1" applyAlignment="1">
      <alignment horizontal="left" vertical="center"/>
    </xf>
    <xf numFmtId="0" fontId="7" fillId="0" borderId="11" xfId="6" applyFont="1" applyBorder="1" applyAlignment="1">
      <alignment horizontal="left" vertical="center" wrapText="1"/>
    </xf>
    <xf numFmtId="0" fontId="7" fillId="0" borderId="13" xfId="6" applyFont="1" applyBorder="1" applyAlignment="1">
      <alignment horizontal="left" vertical="center" wrapText="1"/>
    </xf>
    <xf numFmtId="9" fontId="11" fillId="3" borderId="12" xfId="1" applyFont="1" applyFill="1" applyBorder="1" applyAlignment="1">
      <alignment horizontal="center" vertical="center"/>
    </xf>
    <xf numFmtId="164" fontId="13" fillId="0" borderId="12" xfId="5" applyNumberFormat="1" applyFont="1" applyBorder="1" applyAlignment="1">
      <alignment horizontal="center" vertical="center"/>
    </xf>
    <xf numFmtId="0" fontId="9" fillId="0" borderId="12" xfId="0" quotePrefix="1" applyFont="1" applyBorder="1" applyAlignment="1">
      <alignment horizontal="left" vertical="center" wrapText="1"/>
    </xf>
    <xf numFmtId="0" fontId="9" fillId="0" borderId="11" xfId="0" applyFont="1" applyBorder="1" applyAlignment="1">
      <alignment horizontal="left" vertical="center" wrapText="1"/>
    </xf>
    <xf numFmtId="0" fontId="7" fillId="0" borderId="3" xfId="0" applyFont="1" applyBorder="1" applyAlignment="1">
      <alignment horizontal="left" vertical="top" wrapText="1"/>
    </xf>
    <xf numFmtId="0" fontId="13" fillId="0" borderId="3" xfId="2" quotePrefix="1" applyFont="1" applyBorder="1" applyAlignment="1">
      <alignment horizontal="left" vertical="center" wrapText="1"/>
    </xf>
    <xf numFmtId="0" fontId="9" fillId="0" borderId="12" xfId="0" quotePrefix="1" applyFont="1" applyBorder="1" applyAlignment="1">
      <alignment horizontal="left" vertical="center"/>
    </xf>
    <xf numFmtId="0" fontId="9" fillId="0" borderId="0" xfId="0" applyFont="1" applyAlignment="1">
      <alignment vertical="center"/>
    </xf>
    <xf numFmtId="0" fontId="9" fillId="0" borderId="8" xfId="6" applyFont="1" applyBorder="1" applyAlignment="1">
      <alignment horizontal="left" vertical="center" wrapText="1"/>
    </xf>
    <xf numFmtId="0" fontId="7" fillId="0" borderId="8" xfId="0" applyFont="1" applyBorder="1" applyAlignment="1">
      <alignment horizontal="left" vertical="center" wrapText="1"/>
    </xf>
    <xf numFmtId="0" fontId="9" fillId="3" borderId="8" xfId="6" applyFont="1" applyFill="1" applyBorder="1" applyAlignment="1">
      <alignment horizontal="left" vertical="center" wrapText="1"/>
    </xf>
    <xf numFmtId="0" fontId="7" fillId="3" borderId="8" xfId="6" applyFont="1" applyFill="1" applyBorder="1" applyAlignment="1">
      <alignment horizontal="left" vertical="center" wrapText="1"/>
    </xf>
    <xf numFmtId="0" fontId="7" fillId="0" borderId="8" xfId="6" applyFont="1" applyBorder="1" applyAlignment="1">
      <alignment horizontal="left" vertical="center" wrapText="1"/>
    </xf>
    <xf numFmtId="0" fontId="7" fillId="3" borderId="8" xfId="5" applyFont="1" applyFill="1" applyBorder="1" applyAlignment="1">
      <alignment horizontal="left" vertical="center" wrapText="1"/>
    </xf>
    <xf numFmtId="0" fontId="7" fillId="0" borderId="8" xfId="5" applyFont="1" applyBorder="1" applyAlignment="1">
      <alignment horizontal="left" vertical="center" wrapText="1"/>
    </xf>
    <xf numFmtId="0" fontId="7" fillId="0" borderId="7" xfId="6" applyFont="1" applyBorder="1" applyAlignment="1">
      <alignment horizontal="center" vertical="center" wrapText="1"/>
    </xf>
    <xf numFmtId="0" fontId="7" fillId="0" borderId="7" xfId="0" applyFont="1" applyBorder="1" applyAlignment="1">
      <alignment horizontal="center" vertical="center" wrapText="1"/>
    </xf>
    <xf numFmtId="0" fontId="9" fillId="0" borderId="7" xfId="6" applyFont="1" applyBorder="1" applyAlignment="1">
      <alignment horizontal="center" vertical="center" wrapText="1"/>
    </xf>
    <xf numFmtId="0" fontId="9" fillId="0" borderId="7" xfId="8" applyFont="1" applyFill="1" applyBorder="1" applyAlignment="1">
      <alignment horizontal="center" vertical="center" wrapText="1"/>
    </xf>
    <xf numFmtId="0" fontId="7" fillId="3" borderId="7" xfId="6" applyFont="1" applyFill="1" applyBorder="1" applyAlignment="1">
      <alignment horizontal="center" vertical="center" wrapText="1"/>
    </xf>
    <xf numFmtId="0" fontId="7" fillId="0" borderId="7" xfId="5" applyFont="1" applyBorder="1" applyAlignment="1">
      <alignment horizontal="center" vertical="center" wrapText="1"/>
    </xf>
    <xf numFmtId="0" fontId="9" fillId="3" borderId="7" xfId="6" applyFont="1" applyFill="1" applyBorder="1" applyAlignment="1">
      <alignment horizontal="center" vertical="center" wrapText="1"/>
    </xf>
    <xf numFmtId="0" fontId="9" fillId="0" borderId="7" xfId="0" applyFont="1" applyBorder="1" applyAlignment="1">
      <alignment horizontal="center" vertical="center" wrapText="1"/>
    </xf>
    <xf numFmtId="0" fontId="7" fillId="16" borderId="7" xfId="6" applyFont="1" applyFill="1" applyBorder="1" applyAlignment="1">
      <alignment horizontal="center" vertical="center" wrapText="1"/>
    </xf>
    <xf numFmtId="0" fontId="7" fillId="3" borderId="7" xfId="5" applyFont="1" applyFill="1" applyBorder="1" applyAlignment="1">
      <alignment horizontal="center" vertical="center" wrapText="1"/>
    </xf>
    <xf numFmtId="0" fontId="7" fillId="3" borderId="3" xfId="5" applyFont="1" applyFill="1" applyBorder="1" applyAlignment="1">
      <alignment horizontal="center" vertical="center" wrapText="1"/>
    </xf>
    <xf numFmtId="9" fontId="11" fillId="3" borderId="3" xfId="5" applyNumberFormat="1" applyFont="1" applyFill="1" applyBorder="1" applyAlignment="1">
      <alignment horizontal="center" vertical="center"/>
    </xf>
    <xf numFmtId="0" fontId="11" fillId="3" borderId="3" xfId="0" applyFont="1" applyFill="1" applyBorder="1" applyAlignment="1">
      <alignment horizontal="center" vertical="center"/>
    </xf>
    <xf numFmtId="164" fontId="13" fillId="12" borderId="3" xfId="5" applyNumberFormat="1" applyFont="1" applyFill="1" applyBorder="1" applyAlignment="1">
      <alignment horizontal="center" vertical="center"/>
    </xf>
    <xf numFmtId="0" fontId="7" fillId="3" borderId="1" xfId="5" applyFont="1" applyFill="1" applyBorder="1" applyAlignment="1">
      <alignment horizontal="center" vertical="center"/>
    </xf>
    <xf numFmtId="0" fontId="7" fillId="6" borderId="1" xfId="5" applyFont="1" applyFill="1" applyBorder="1" applyAlignment="1">
      <alignment horizontal="center" vertical="center"/>
    </xf>
    <xf numFmtId="168" fontId="7" fillId="0" borderId="1" xfId="5" applyNumberFormat="1" applyFont="1" applyBorder="1" applyAlignment="1">
      <alignment horizontal="center" vertical="center"/>
    </xf>
    <xf numFmtId="168" fontId="13" fillId="0" borderId="1" xfId="5" applyNumberFormat="1" applyFont="1" applyBorder="1" applyAlignment="1">
      <alignment horizontal="center" vertical="center"/>
    </xf>
    <xf numFmtId="0" fontId="13" fillId="0" borderId="1" xfId="5" applyFont="1" applyBorder="1" applyAlignment="1">
      <alignment horizontal="center" vertical="center"/>
    </xf>
    <xf numFmtId="0" fontId="9" fillId="0" borderId="11" xfId="0" applyFont="1" applyBorder="1" applyAlignment="1">
      <alignment horizontal="center" vertical="center" wrapText="1"/>
    </xf>
    <xf numFmtId="0" fontId="11" fillId="3" borderId="12" xfId="0" applyFont="1" applyFill="1" applyBorder="1" applyAlignment="1">
      <alignment horizontal="center" vertical="center"/>
    </xf>
    <xf numFmtId="0" fontId="9" fillId="0" borderId="3" xfId="5" applyFont="1" applyBorder="1" applyAlignment="1">
      <alignment horizontal="center" vertical="center" wrapText="1"/>
    </xf>
    <xf numFmtId="0" fontId="9" fillId="12" borderId="7" xfId="0" applyFont="1" applyFill="1" applyBorder="1" applyAlignment="1">
      <alignment horizontal="center" vertical="center" wrapText="1"/>
    </xf>
    <xf numFmtId="0" fontId="7" fillId="12" borderId="7" xfId="6" applyFont="1" applyFill="1" applyBorder="1" applyAlignment="1">
      <alignment horizontal="center" vertical="center" wrapText="1"/>
    </xf>
    <xf numFmtId="0" fontId="9" fillId="12" borderId="7" xfId="8" applyFont="1" applyFill="1" applyBorder="1" applyAlignment="1">
      <alignment horizontal="center" vertical="center" wrapText="1"/>
    </xf>
    <xf numFmtId="0" fontId="7" fillId="12" borderId="7" xfId="5" applyFont="1" applyFill="1" applyBorder="1" applyAlignment="1">
      <alignment horizontal="center" vertical="center" wrapText="1"/>
    </xf>
    <xf numFmtId="0" fontId="0" fillId="10" borderId="0" xfId="0" applyFill="1" applyAlignment="1">
      <alignment horizontal="center" vertical="center"/>
    </xf>
    <xf numFmtId="0" fontId="0" fillId="0" borderId="0" xfId="0" applyAlignment="1">
      <alignment horizontal="center" vertical="center"/>
    </xf>
    <xf numFmtId="0" fontId="0" fillId="9" borderId="0" xfId="0" applyFill="1" applyAlignment="1">
      <alignment horizontal="center" vertical="center"/>
    </xf>
  </cellXfs>
  <cellStyles count="9">
    <cellStyle name="Date" xfId="7" xr:uid="{2DD39484-4F01-4130-B87E-E9ECA2F1048C}"/>
    <cellStyle name="Hyperlink" xfId="3" builtinId="8"/>
    <cellStyle name="Normal" xfId="0" builtinId="0"/>
    <cellStyle name="Normal 2" xfId="5" xr:uid="{96CF448D-31B0-4822-8445-50D71704B4E6}"/>
    <cellStyle name="Normal 2 2" xfId="6" xr:uid="{417D53A5-5468-43A1-AD6E-492CE9C5F82C}"/>
    <cellStyle name="Normal 5" xfId="2" xr:uid="{20C45FFC-6F64-457C-B896-34404A117B8A}"/>
    <cellStyle name="Percent" xfId="1" builtinId="5"/>
    <cellStyle name="Percent 2 3" xfId="4" xr:uid="{1AD2806D-1F99-46D2-84A7-00F75DDB1D25}"/>
    <cellStyle name="Total" xfId="8" builtinId="25"/>
  </cellStyles>
  <dxfs count="44">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FF7575"/>
      </font>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b val="0"/>
        <i/>
        <u val="double"/>
        <color rgb="FFC00000"/>
      </font>
    </dxf>
    <dxf>
      <fill>
        <patternFill patternType="gray125">
          <bgColor theme="9" tint="0.79998168889431442"/>
        </patternFill>
      </fill>
    </dxf>
    <dxf>
      <font>
        <strike val="0"/>
        <outline val="0"/>
        <shadow val="0"/>
        <vertAlign val="baseline"/>
        <sz val="8"/>
        <name val="Arial"/>
        <family val="2"/>
        <scheme val="none"/>
      </font>
      <alignment horizontal="center" vertical="center" textRotation="0" wrapText="0" indent="0" justifyLastLine="0" shrinkToFit="0" readingOrder="0"/>
    </dxf>
    <dxf>
      <font>
        <strike val="0"/>
        <outline val="0"/>
        <shadow val="0"/>
        <vertAlign val="baseline"/>
        <sz val="8"/>
        <name val="Arial"/>
        <family val="2"/>
        <scheme val="none"/>
      </font>
      <alignment horizontal="center" vertical="center" textRotation="0" wrapText="0" indent="0" justifyLastLine="0" shrinkToFit="0" readingOrder="0"/>
    </dxf>
    <dxf>
      <font>
        <strike val="0"/>
        <outline val="0"/>
        <shadow val="0"/>
        <vertAlign val="baseline"/>
        <sz val="8"/>
        <name val="Arial"/>
        <family val="2"/>
        <scheme val="none"/>
      </font>
      <alignment horizontal="center" vertical="center" textRotation="0" wrapText="0" indent="0" justifyLastLine="0" shrinkToFit="0" readingOrder="0"/>
    </dxf>
    <dxf>
      <font>
        <strike val="0"/>
        <outline val="0"/>
        <shadow val="0"/>
        <vertAlign val="baseline"/>
        <sz val="8"/>
        <name val="Arial"/>
        <family val="2"/>
        <scheme val="none"/>
      </font>
      <alignment horizontal="center" vertical="center" textRotation="0" wrapText="0" indent="0" justifyLastLine="0" shrinkToFit="0" readingOrder="0"/>
    </dxf>
    <dxf>
      <font>
        <strike val="0"/>
        <outline val="0"/>
        <shadow val="0"/>
        <vertAlign val="baseline"/>
        <sz val="8"/>
        <name val="Arial"/>
        <family val="2"/>
        <scheme val="none"/>
      </font>
      <alignment horizontal="center" vertical="center" textRotation="0" wrapText="0" indent="0" justifyLastLine="0" shrinkToFit="0" readingOrder="0"/>
    </dxf>
    <dxf>
      <font>
        <strike val="0"/>
        <outline val="0"/>
        <shadow val="0"/>
        <u/>
        <vertAlign val="baseline"/>
        <sz val="8"/>
        <color theme="10"/>
        <name val="Arial"/>
        <family val="2"/>
        <scheme val="none"/>
      </font>
      <alignment horizontal="left" vertical="center" textRotation="0" wrapText="0" indent="0" justifyLastLine="0" shrinkToFit="0" readingOrder="0"/>
      <border diagonalUp="0" diagonalDown="0" outline="0">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8"/>
        <color theme="1"/>
        <name val="Arial"/>
        <family val="2"/>
        <scheme val="none"/>
      </font>
      <numFmt numFmtId="0" formatCode="General"/>
      <alignment horizontal="left"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8"/>
        <color theme="1"/>
        <name val="Arial"/>
        <family val="2"/>
        <scheme val="none"/>
      </font>
      <numFmt numFmtId="0" formatCode="General"/>
      <alignment horizontal="left"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8"/>
        <color theme="1"/>
        <name val="Arial"/>
        <family val="2"/>
        <scheme val="none"/>
      </font>
      <numFmt numFmtId="0" formatCode="General"/>
      <alignment horizontal="left"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border>
    </dxf>
    <dxf>
      <font>
        <strike val="0"/>
        <outline val="0"/>
        <shadow val="0"/>
        <u/>
        <vertAlign val="baseline"/>
        <sz val="8"/>
        <color theme="10"/>
        <name val="Arial"/>
        <family val="2"/>
        <scheme val="none"/>
      </font>
      <numFmt numFmtId="0" formatCode="General"/>
      <alignment horizontal="left" vertical="center" textRotation="0" wrapText="0" indent="0" justifyLastLine="0" shrinkToFit="0" readingOrder="0"/>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ertAlign val="baseline"/>
        <sz val="8"/>
        <color theme="10"/>
        <name val="Arial"/>
        <family val="2"/>
        <scheme val="none"/>
      </font>
      <numFmt numFmtId="0" formatCode="General"/>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val="0"/>
        <i val="0"/>
        <strike val="0"/>
        <condense val="0"/>
        <extend val="0"/>
        <outline val="0"/>
        <shadow val="0"/>
        <u val="none"/>
        <vertAlign val="baseline"/>
        <sz val="8"/>
        <color theme="1"/>
        <name val="Arial"/>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8"/>
        <name val="Arial"/>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8"/>
        <name val="Arial"/>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8"/>
        <name val="Arial"/>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8"/>
        <name val="Arial"/>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8"/>
        <name val="Arial"/>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8"/>
        <name val="Arial"/>
        <family val="2"/>
        <scheme val="none"/>
      </font>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8"/>
        <name val="Arial"/>
        <family val="2"/>
        <scheme val="none"/>
      </font>
      <numFmt numFmtId="164" formatCode="[$-409]d\-mmm\-yy;@"/>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8"/>
        <name val="Arial"/>
        <family val="2"/>
        <scheme val="none"/>
      </font>
      <numFmt numFmtId="164" formatCode="[$-409]d\-mmm\-yy;@"/>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8"/>
        <name val="Arial"/>
        <family val="2"/>
        <scheme val="none"/>
      </font>
      <numFmt numFmtId="164" formatCode="[$-409]d\-mmm\-yy;@"/>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b/>
        <i val="0"/>
        <strike val="0"/>
        <condense val="0"/>
        <extend val="0"/>
        <outline val="0"/>
        <shadow val="0"/>
        <u val="none"/>
        <vertAlign val="baseline"/>
        <sz val="8"/>
        <color auto="1"/>
        <name val="Arial"/>
        <family val="2"/>
        <scheme val="none"/>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8"/>
        <name val="Arial"/>
        <family val="2"/>
        <scheme val="none"/>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8"/>
        <color rgb="FF000000"/>
        <name val="Arial"/>
        <family val="2"/>
        <scheme val="none"/>
      </font>
      <alignment horizontal="center"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8"/>
        <name val="Arial"/>
        <family val="2"/>
        <scheme val="none"/>
      </font>
      <alignment horizontal="center" vertical="center" textRotation="0" wrapText="1" indent="0" justifyLastLine="0" shrinkToFit="0" readingOrder="0"/>
      <border diagonalUp="0" diagonalDown="0" outline="0">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8"/>
        <color rgb="FF000000"/>
        <name val="Arial"/>
        <family val="2"/>
        <scheme val="none"/>
      </font>
      <alignment horizontal="center" vertical="center" textRotation="0" wrapText="1" indent="0" justifyLastLine="0" shrinkToFit="0" readingOrder="0"/>
      <border diagonalUp="0" diagonalDown="0" outline="0">
        <left style="thin">
          <color theme="0" tint="-0.249977111117893"/>
        </left>
        <right style="thin">
          <color theme="0" tint="-0.249977111117893"/>
        </right>
        <top style="thin">
          <color theme="0" tint="-0.249977111117893"/>
        </top>
        <bottom style="thin">
          <color theme="0" tint="-0.249977111117893"/>
        </bottom>
      </border>
    </dxf>
    <dxf>
      <font>
        <strike val="0"/>
        <outline val="0"/>
        <shadow val="0"/>
        <vertAlign val="baseline"/>
        <sz val="8"/>
        <name val="Arial"/>
        <family val="2"/>
        <scheme val="none"/>
      </font>
      <alignment horizontal="left" vertical="center" textRotation="0" wrapText="1"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strike val="0"/>
        <outline val="0"/>
        <shadow val="0"/>
        <vertAlign val="baseline"/>
        <sz val="8"/>
        <name val="Arial"/>
        <family val="2"/>
        <scheme val="none"/>
      </font>
      <alignment horizontal="left" vertical="center" textRotation="0" wrapText="1"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strike val="0"/>
        <outline val="0"/>
        <shadow val="0"/>
        <vertAlign val="baseline"/>
        <sz val="8"/>
        <name val="Arial"/>
        <family val="2"/>
        <scheme val="none"/>
      </font>
      <alignment horizontal="center"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border>
        <top style="thin">
          <color theme="0" tint="-0.34998626667073579"/>
        </top>
      </border>
    </dxf>
    <dxf>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vertAlign val="baseline"/>
        <sz val="8"/>
        <name val="Arial"/>
        <family val="2"/>
        <scheme val="none"/>
      </font>
      <alignment horizontal="center" vertical="center" textRotation="0" wrapText="0" indent="0" justifyLastLine="0" shrinkToFit="0" readingOrder="0"/>
    </dxf>
    <dxf>
      <border>
        <bottom style="thin">
          <color theme="0" tint="-0.34998626667073579"/>
        </bottom>
      </border>
    </dxf>
    <dxf>
      <font>
        <b/>
        <i val="0"/>
        <strike val="0"/>
        <condense val="0"/>
        <extend val="0"/>
        <outline val="0"/>
        <shadow val="0"/>
        <u val="none"/>
        <vertAlign val="baseline"/>
        <sz val="8"/>
        <color theme="0"/>
        <name val="Arial"/>
        <family val="2"/>
        <scheme val="none"/>
      </font>
      <fill>
        <patternFill patternType="solid">
          <fgColor theme="4"/>
          <bgColor rgb="FF0070C0"/>
        </patternFill>
      </fill>
      <alignment horizontal="center" vertical="center" textRotation="0" wrapText="1" indent="0" justifyLastLine="0" shrinkToFit="0" readingOrder="0"/>
      <border diagonalUp="0" diagonalDown="0">
        <left style="thin">
          <color theme="0" tint="-0.34998626667073579"/>
        </left>
        <right style="thin">
          <color theme="0" tint="-0.34998626667073579"/>
        </right>
        <top/>
        <bottom/>
        <vertical style="thin">
          <color theme="0" tint="-0.34998626667073579"/>
        </vertical>
        <horizontal style="thin">
          <color theme="0" tint="-0.34998626667073579"/>
        </horizontal>
      </border>
    </dxf>
  </dxfs>
  <tableStyles count="0" defaultTableStyle="TableStyleMedium2" defaultPivotStyle="PivotStyleLight16"/>
  <colors>
    <mruColors>
      <color rgb="FFFF75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C156C5B-10B4-408F-8D82-CF37744FB3D1}">
    <nsvFilter filterId="{8E6F3B72-485D-438A-B779-7DFA1DB76BF5}" ref="A1:AC507" tableId="1">
      <columnFilter colId="6" id="{2C3FCD76-FF96-45EA-83C5-1324CE7F9CBB}">
        <filter colId="6">
          <x:filters>
            <x:filter val="ALR, ARS, DHI"/>
            <x:filter val="ALR, ARS, RRP, DHI"/>
            <x:filter val="ALR, DHI"/>
            <x:filter val="ALR, DHI, RRP"/>
            <x:filter val="ALR, RRP, DHI"/>
            <x:filter val="ARS, DHI"/>
            <x:filter val="ARS, RRP, DHI"/>
            <x:filter val="ARS, RRP, DHI, RSW, BEY"/>
            <x:filter val="ASN, RRP, DHI"/>
            <x:filter val="DHI"/>
            <x:filter val="DHI, ALR"/>
            <x:filter val="RRP, DHI"/>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Ratih Ramadhani Putri" id="{72D425A0-DC6B-48C3-AC4A-76AD340CDF11}" userId="S::ratih_putri@banpuindo.co.id::7c74fb25-79b2-4c71-b900-f9662278643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6F3B72-485D-438A-B779-7DFA1DB76BF5}" name="Project_Tracker" displayName="Project_Tracker" ref="A1:AC507" totalsRowShown="0" headerRowDxfId="43" dataDxfId="41" headerRowBorderDxfId="42" tableBorderDxfId="40" totalsRowBorderDxfId="39" headerRowCellStyle="Normal 5">
  <autoFilter ref="A1:AC507" xr:uid="{8E6F3B72-485D-438A-B779-7DFA1DB76BF5}"/>
  <tableColumns count="29">
    <tableColumn id="1" xr3:uid="{AFF8F022-D5DC-453F-BED8-516E3093252D}" name="No" dataDxfId="38"/>
    <tableColumn id="18" xr3:uid="{47C14148-B218-477C-A3D8-AB2D84735E5B}" name="Category" dataDxfId="37"/>
    <tableColumn id="2" xr3:uid="{90A9E7C4-FDE0-4E88-90B4-82C9CFCA37CA}" name="Task / Project" dataDxfId="36"/>
    <tableColumn id="24" xr3:uid="{6059E50C-A523-4680-A176-8EABD1D9FA48}" name="Code" dataDxfId="35" dataCellStyle="Normal 2 2"/>
    <tableColumn id="17" xr3:uid="{E30BB97D-E885-4E5B-8BCF-CEAF7D474EC8}" name="Project Name" dataDxfId="34"/>
    <tableColumn id="3" xr3:uid="{A643F2F7-854F-42D2-B026-BBF1D80E9216}" name="Project Lead" dataDxfId="33" dataCellStyle="Normal 2"/>
    <tableColumn id="4" xr3:uid="{2C3FCD76-FF96-45EA-83C5-1324CE7F9CBB}" name="Team Collaboration" dataDxfId="32"/>
    <tableColumn id="6" xr3:uid="{3FD94E00-1976-491A-AC72-9F8D0D864B6D}" name="Progress" dataDxfId="31"/>
    <tableColumn id="7" xr3:uid="{3C1E1AAB-6158-4EC9-88B6-7DB602F303B1}" name="Target Date" dataDxfId="30"/>
    <tableColumn id="8" xr3:uid="{179477B9-FAAD-4177-AC05-41FD7329892F}" name="Start Date" dataDxfId="29"/>
    <tableColumn id="9" xr3:uid="{F3AF2238-8F54-4E91-B912-4DE662B0571D}" name="End Date" dataDxfId="28"/>
    <tableColumn id="10" xr3:uid="{7D755878-6A57-4C11-93B7-361E7BEF3CBF}" name="Status" dataDxfId="27"/>
    <tableColumn id="11" xr3:uid="{2F17DA9C-9740-4AD7-88D5-99E18F1A6DB9}" name="History Work Accomplishment" dataDxfId="26"/>
    <tableColumn id="12" xr3:uid="{35094256-EA5D-4641-A2CF-8DA4463E32D1}" name="Plan Activities (Weekly)" dataDxfId="25"/>
    <tableColumn id="13" xr3:uid="{6BB907EB-3FD6-4CE1-BF89-9CA2EF1CA559}" name="Issue (Risk)" dataDxfId="24"/>
    <tableColumn id="14" xr3:uid="{C238FE21-1D1F-4028-AB60-46EEEA8B31A2}" name="Delay" dataDxfId="23"/>
    <tableColumn id="15" xr3:uid="{35498244-7FF0-469F-8ABE-A2DBB188CA92}" name="User" dataDxfId="22"/>
    <tableColumn id="20" xr3:uid="{0C625F49-DA7D-40BA-96E2-301042A4DB57}" name="Folder Link" dataDxfId="21"/>
    <tableColumn id="19" xr3:uid="{4534D4B1-06C1-4517-8812-ABB4B8DA56BB}" name="Lead Email" dataDxfId="20" dataCellStyle="Hyperlink">
      <calculatedColumnFormula>IF(Project_Tracker[[#This Row],[Project Lead]]="", "", IFERROR(VLOOKUP(Project_Tracker[[#This Row],[Project Lead]], Setting!C:D, 2, 0), ""))</calculatedColumnFormula>
    </tableColumn>
    <tableColumn id="16" xr3:uid="{CD2907D4-5035-4113-8505-152747722090}" name="Collaboration Team Email" dataDxfId="19" dataCellStyle="Hyperlink"/>
    <tableColumn id="21" xr3:uid="{5AD89C60-8250-4DD0-A0CE-83FE9022809F}" name="Count Project by Name" dataDxfId="18">
      <calculatedColumnFormula>Project_Tracker[[#This Row],[Project Lead]]&amp;", "&amp;Project_Tracker[[#This Row],[Team Collaboration]]</calculatedColumnFormula>
    </tableColumn>
    <tableColumn id="23" xr3:uid="{ADB14BEF-1D00-4EB7-B9A4-430E88D4485E}" name="Column22" dataDxfId="17"/>
    <tableColumn id="22" xr3:uid="{6A3AC82F-94A3-4CF1-82AB-2256DDCA3A92}" name="Column21" dataDxfId="16"/>
    <tableColumn id="5" xr3:uid="{6B2DE086-D35D-4FC2-8057-6C40CB51CC0A}" name="Category2" dataDxfId="15" dataCellStyle="Hyperlink"/>
    <tableColumn id="25" xr3:uid="{CEC111E8-0E95-4FD1-829B-5F6DEB694AF1}" name="NEED 3rd PARTY (Admin)" dataDxfId="14"/>
    <tableColumn id="26" xr3:uid="{C9E10357-B2F4-4324-BDF3-B0A3BDA15F1E}" name="PLAN START" dataDxfId="13"/>
    <tableColumn id="27" xr3:uid="{1E60B33C-0D00-4F6A-AA8D-2AC21283915D}" name="PLAN END" dataDxfId="12"/>
    <tableColumn id="28" xr3:uid="{65DEF928-9CB8-4974-81F7-C99BB5043B98}" name="PLAN DATE" dataDxfId="11"/>
    <tableColumn id="29" xr3:uid="{51ADB85C-4423-4327-BB10-7A345B094E08}" name="Effectiv Year" dataDxfId="1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K11" dT="2025-02-18T07:33:51.83" personId="{72D425A0-DC6B-48C3-AC4A-76AD340CDF11}" id="{79C23DB7-BE37-492D-B8DD-95FEBB823475}">
    <text>aligning with Mahakam Project</text>
  </threadedComment>
  <threadedComment ref="I12" dT="2025-02-18T07:35:16.64" personId="{72D425A0-DC6B-48C3-AC4A-76AD340CDF11}" id="{5009CCAB-4945-424D-9EB6-49085B76375B}">
    <text>H2</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printerSettings" Target="../printerSettings/printerSettings1.bin"/><Relationship Id="rId1" Type="http://schemas.openxmlformats.org/officeDocument/2006/relationships/hyperlink" Target="../2.%20Innovation/%5bKPI%5d%20Transformation%20%26%20Innovation%20Governance/01.%20D%26I%20Governance%20Tracking%20Worksheet.xlsx"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mailto:afrizon_afrizon@banpuindo.co.id" TargetMode="External"/><Relationship Id="rId3" Type="http://schemas.openxmlformats.org/officeDocument/2006/relationships/hyperlink" Target="mailto:bella_yolanda@banpuindo.co.id" TargetMode="External"/><Relationship Id="rId7" Type="http://schemas.openxmlformats.org/officeDocument/2006/relationships/hyperlink" Target="mailto:aditya_r@banpuindo.co.id" TargetMode="External"/><Relationship Id="rId2" Type="http://schemas.openxmlformats.org/officeDocument/2006/relationships/hyperlink" Target="mailto:dhany_indraswara@banpuindo.co.id" TargetMode="External"/><Relationship Id="rId1" Type="http://schemas.openxmlformats.org/officeDocument/2006/relationships/hyperlink" Target="mailto:ratih_putri@banpuindo.co.id" TargetMode="External"/><Relationship Id="rId6" Type="http://schemas.openxmlformats.org/officeDocument/2006/relationships/hyperlink" Target="mailto:aldy_rienaldy@banpuindo.co.id" TargetMode="External"/><Relationship Id="rId5" Type="http://schemas.openxmlformats.org/officeDocument/2006/relationships/hyperlink" Target="mailto:reza_suryawardhana@banpuindo.co.id" TargetMode="External"/><Relationship Id="rId4" Type="http://schemas.openxmlformats.org/officeDocument/2006/relationships/hyperlink" Target="mailto:andri_s@banpuindo.co.id"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F937-060F-49D2-B4D4-500FEC00CE4E}">
  <dimension ref="A1:AC507"/>
  <sheetViews>
    <sheetView tabSelected="1" zoomScale="120" zoomScaleNormal="120" workbookViewId="0">
      <selection activeCell="C5" sqref="C5"/>
    </sheetView>
  </sheetViews>
  <sheetFormatPr defaultColWidth="9.109375" defaultRowHeight="14.4" x14ac:dyDescent="0.3"/>
  <cols>
    <col min="1" max="1" width="7.44140625" style="10" customWidth="1"/>
    <col min="2" max="2" width="32.109375" style="30" bestFit="1" customWidth="1"/>
    <col min="3" max="3" width="50.109375" style="31" customWidth="1"/>
    <col min="4" max="4" width="10.44140625" style="31" customWidth="1"/>
    <col min="5" max="5" width="48.44140625" style="31" customWidth="1"/>
    <col min="6" max="6" width="14.109375" style="32" customWidth="1"/>
    <col min="7" max="7" width="20.44140625" style="10" customWidth="1"/>
    <col min="8" max="8" width="11.44140625" customWidth="1"/>
    <col min="9" max="9" width="11.44140625" style="10" customWidth="1"/>
    <col min="10" max="10" width="10.44140625" style="10" customWidth="1"/>
    <col min="11" max="11" width="10" style="10" customWidth="1"/>
    <col min="12" max="12" width="9.88671875" style="10" customWidth="1"/>
    <col min="13" max="13" width="68" style="30" customWidth="1"/>
    <col min="14" max="14" width="72.44140625" style="31" bestFit="1" customWidth="1"/>
    <col min="15" max="15" width="19.44140625" style="30" customWidth="1"/>
    <col min="16" max="16" width="9.44140625" style="10" customWidth="1"/>
    <col min="17" max="17" width="30.44140625" style="10" bestFit="1" customWidth="1"/>
    <col min="18" max="18" width="43.44140625" style="10" bestFit="1" customWidth="1"/>
    <col min="19" max="19" width="26" style="10" customWidth="1"/>
    <col min="20" max="20" width="109.44140625" style="33" customWidth="1"/>
    <col min="21" max="23" width="23.44140625" style="33" customWidth="1"/>
    <col min="24" max="24" width="23.44140625" style="10" customWidth="1"/>
    <col min="25" max="25" width="20.44140625" customWidth="1"/>
    <col min="26" max="26" width="20.44140625" style="33" customWidth="1"/>
    <col min="27" max="16384" width="9.109375" style="10"/>
  </cols>
  <sheetData>
    <row r="1" spans="1:29" ht="20.399999999999999" x14ac:dyDescent="0.3">
      <c r="A1" s="11" t="s">
        <v>0</v>
      </c>
      <c r="B1" s="12" t="s">
        <v>1</v>
      </c>
      <c r="C1" s="12" t="s">
        <v>2</v>
      </c>
      <c r="D1" s="12" t="s">
        <v>3</v>
      </c>
      <c r="E1" s="12" t="s">
        <v>4</v>
      </c>
      <c r="F1" s="12" t="s">
        <v>5</v>
      </c>
      <c r="G1" s="13" t="s">
        <v>6</v>
      </c>
      <c r="H1" s="14" t="s">
        <v>7</v>
      </c>
      <c r="I1" s="12" t="s">
        <v>8</v>
      </c>
      <c r="J1" s="12" t="s">
        <v>9</v>
      </c>
      <c r="K1" s="12" t="s">
        <v>10</v>
      </c>
      <c r="L1" s="12" t="s">
        <v>11</v>
      </c>
      <c r="M1" s="12" t="s">
        <v>12</v>
      </c>
      <c r="N1" s="12" t="s">
        <v>13</v>
      </c>
      <c r="O1" s="12" t="s">
        <v>14</v>
      </c>
      <c r="P1" s="15" t="s">
        <v>15</v>
      </c>
      <c r="Q1" s="12" t="s">
        <v>16</v>
      </c>
      <c r="R1" s="12" t="s">
        <v>17</v>
      </c>
      <c r="S1" s="16" t="s">
        <v>18</v>
      </c>
      <c r="T1" s="36" t="s">
        <v>19</v>
      </c>
      <c r="U1" s="36" t="s">
        <v>20</v>
      </c>
      <c r="V1" s="36" t="s">
        <v>21</v>
      </c>
      <c r="W1" s="36" t="s">
        <v>22</v>
      </c>
      <c r="X1" s="12" t="s">
        <v>23</v>
      </c>
      <c r="Y1" s="12" t="s">
        <v>24</v>
      </c>
      <c r="Z1" s="12" t="s">
        <v>25</v>
      </c>
      <c r="AA1" s="12" t="s">
        <v>26</v>
      </c>
      <c r="AB1" s="12" t="s">
        <v>27</v>
      </c>
      <c r="AC1" s="12" t="s">
        <v>28</v>
      </c>
    </row>
    <row r="2" spans="1:29" ht="91.8" x14ac:dyDescent="0.3">
      <c r="A2" s="17">
        <v>1</v>
      </c>
      <c r="B2" s="18" t="s">
        <v>29</v>
      </c>
      <c r="C2" s="18" t="s">
        <v>30</v>
      </c>
      <c r="D2" s="20" t="s">
        <v>31</v>
      </c>
      <c r="E2" s="19" t="s">
        <v>32</v>
      </c>
      <c r="F2" s="20" t="s">
        <v>33</v>
      </c>
      <c r="G2" s="20" t="s">
        <v>34</v>
      </c>
      <c r="H2" s="22">
        <v>0.85</v>
      </c>
      <c r="I2" s="23">
        <v>46022</v>
      </c>
      <c r="J2" s="23">
        <v>45348</v>
      </c>
      <c r="K2" s="23">
        <v>46022</v>
      </c>
      <c r="L2" s="24" t="s">
        <v>35</v>
      </c>
      <c r="M2" s="18" t="s">
        <v>36</v>
      </c>
      <c r="N2" s="86" t="s">
        <v>37</v>
      </c>
      <c r="O2" s="21" t="s">
        <v>38</v>
      </c>
      <c r="P2" s="24">
        <f>Project_Tracker[[#This Row],[End Date]]-Project_Tracker[[#This Row],[Target Date]]</f>
        <v>0</v>
      </c>
      <c r="Q2" s="49"/>
      <c r="R2" s="26"/>
      <c r="S2" s="26" t="str">
        <f>IF(Project_Tracker[[#This Row],[Project Lead]]="", "", IFERROR(VLOOKUP(Project_Tracker[[#This Row],[Project Lead]], Setting!C:D, 2, 0), ""))</f>
        <v>aldy_rienaldy@banpuindo.co.id</v>
      </c>
      <c r="T2" s="27"/>
      <c r="U2" s="48" t="str">
        <f>Project_Tracker[[#This Row],[Project Lead]]&amp;", "&amp;Project_Tracker[[#This Row],[Team Collaboration]]</f>
        <v>ALR, ARS, RRP</v>
      </c>
      <c r="V2" s="48"/>
      <c r="W2" s="48"/>
      <c r="X2" s="21"/>
      <c r="Y2" s="10"/>
      <c r="Z2" s="10"/>
      <c r="AC2" s="10">
        <v>2025</v>
      </c>
    </row>
    <row r="3" spans="1:29" ht="10.199999999999999" x14ac:dyDescent="0.3">
      <c r="A3" s="17">
        <v>2</v>
      </c>
      <c r="B3" s="18" t="s">
        <v>29</v>
      </c>
      <c r="C3" s="18" t="s">
        <v>30</v>
      </c>
      <c r="D3" s="20" t="s">
        <v>39</v>
      </c>
      <c r="E3" s="70" t="s">
        <v>40</v>
      </c>
      <c r="F3" s="20" t="s">
        <v>41</v>
      </c>
      <c r="G3" s="20" t="s">
        <v>42</v>
      </c>
      <c r="H3" s="22">
        <v>0</v>
      </c>
      <c r="I3" s="40" t="s">
        <v>43</v>
      </c>
      <c r="J3" s="23"/>
      <c r="K3" s="23"/>
      <c r="L3" s="24" t="s">
        <v>44</v>
      </c>
      <c r="M3" s="18"/>
      <c r="N3" s="24"/>
      <c r="O3" s="62" t="s">
        <v>45</v>
      </c>
      <c r="P3" s="24"/>
      <c r="Q3" s="25"/>
      <c r="R3" s="26"/>
      <c r="S3" s="26" t="str">
        <f>IF(Project_Tracker[[#This Row],[Project Lead]]="", "", IFERROR(VLOOKUP(Project_Tracker[[#This Row],[Project Lead]], Setting!C:D, 2, 0), ""))</f>
        <v>ratih_putri@banpuindo.co.id</v>
      </c>
      <c r="T3" s="27"/>
      <c r="U3" s="47" t="str">
        <f>Project_Tracker[[#This Row],[Project Lead]]&amp;", "&amp;Project_Tracker[[#This Row],[Team Collaboration]]</f>
        <v>RRP, ALR, DHI</v>
      </c>
      <c r="V3" s="47"/>
      <c r="W3" s="47"/>
      <c r="X3" s="21"/>
      <c r="Y3" s="10"/>
      <c r="Z3" s="10"/>
      <c r="AC3" s="10">
        <v>2025</v>
      </c>
    </row>
    <row r="4" spans="1:29" ht="20.399999999999999" x14ac:dyDescent="0.3">
      <c r="A4" s="17">
        <v>3</v>
      </c>
      <c r="B4" s="18" t="s">
        <v>29</v>
      </c>
      <c r="C4" s="18" t="s">
        <v>30</v>
      </c>
      <c r="D4" s="20" t="s">
        <v>46</v>
      </c>
      <c r="E4" s="70" t="s">
        <v>47</v>
      </c>
      <c r="F4" s="20" t="s">
        <v>48</v>
      </c>
      <c r="G4" s="20" t="s">
        <v>49</v>
      </c>
      <c r="H4" s="22">
        <v>0</v>
      </c>
      <c r="I4" s="40" t="s">
        <v>50</v>
      </c>
      <c r="J4" s="23"/>
      <c r="K4" s="23"/>
      <c r="L4" s="24" t="s">
        <v>44</v>
      </c>
      <c r="M4" s="20"/>
      <c r="N4" s="24"/>
      <c r="O4" s="62" t="s">
        <v>51</v>
      </c>
      <c r="P4" s="24"/>
      <c r="Q4" s="25"/>
      <c r="R4" s="26"/>
      <c r="S4" s="26" t="str">
        <f>IF(Project_Tracker[[#This Row],[Project Lead]]="", "", IFERROR(VLOOKUP(Project_Tracker[[#This Row],[Project Lead]], Setting!C:D, 2, 0), ""))</f>
        <v>aditya_r@banpuindo.co.id</v>
      </c>
      <c r="T4" s="27"/>
      <c r="U4" s="47" t="str">
        <f>Project_Tracker[[#This Row],[Project Lead]]&amp;", "&amp;Project_Tracker[[#This Row],[Team Collaboration]]</f>
        <v>ARS, ALR, DHI, RRP</v>
      </c>
      <c r="V4" s="47"/>
      <c r="W4" s="47"/>
      <c r="X4" s="21"/>
      <c r="Y4" s="10"/>
      <c r="Z4" s="10"/>
      <c r="AC4" s="10">
        <v>2025</v>
      </c>
    </row>
    <row r="5" spans="1:29" ht="71.400000000000006" x14ac:dyDescent="0.3">
      <c r="A5" s="17">
        <v>4</v>
      </c>
      <c r="B5" s="18" t="s">
        <v>29</v>
      </c>
      <c r="C5" s="18" t="s">
        <v>52</v>
      </c>
      <c r="D5" s="20" t="s">
        <v>53</v>
      </c>
      <c r="E5" s="28" t="s">
        <v>54</v>
      </c>
      <c r="F5" s="29" t="s">
        <v>33</v>
      </c>
      <c r="G5" s="29"/>
      <c r="H5" s="22">
        <v>1</v>
      </c>
      <c r="I5" s="23">
        <v>45838</v>
      </c>
      <c r="J5" s="23">
        <v>45474</v>
      </c>
      <c r="K5" s="23">
        <v>45838</v>
      </c>
      <c r="L5" s="24" t="s">
        <v>55</v>
      </c>
      <c r="M5" s="18" t="s">
        <v>56</v>
      </c>
      <c r="N5" s="18" t="s">
        <v>57</v>
      </c>
      <c r="O5" s="21" t="s">
        <v>38</v>
      </c>
      <c r="P5" s="24">
        <f>Project_Tracker[[#This Row],[End Date]]-Project_Tracker[[#This Row],[Target Date]]</f>
        <v>0</v>
      </c>
      <c r="Q5" s="25"/>
      <c r="R5" s="26"/>
      <c r="S5" s="26" t="str">
        <f>IF(Project_Tracker[[#This Row],[Project Lead]]="", "", IFERROR(VLOOKUP(Project_Tracker[[#This Row],[Project Lead]], Setting!C:D, 2, 0), ""))</f>
        <v>aldy_rienaldy@banpuindo.co.id</v>
      </c>
      <c r="T5" s="27"/>
      <c r="U5" s="47" t="str">
        <f>Project_Tracker[[#This Row],[Project Lead]]&amp;", "&amp;Project_Tracker[[#This Row],[Team Collaboration]]</f>
        <v xml:space="preserve">ALR, </v>
      </c>
      <c r="V5" s="47"/>
      <c r="W5" s="47"/>
      <c r="X5" s="21"/>
      <c r="Y5" s="10"/>
      <c r="Z5" s="10"/>
      <c r="AC5" s="10">
        <v>2025</v>
      </c>
    </row>
    <row r="6" spans="1:29" ht="40.799999999999997" x14ac:dyDescent="0.3">
      <c r="A6" s="17">
        <v>5</v>
      </c>
      <c r="B6" s="18" t="s">
        <v>29</v>
      </c>
      <c r="C6" s="18" t="s">
        <v>52</v>
      </c>
      <c r="D6" s="20" t="s">
        <v>58</v>
      </c>
      <c r="E6" s="28" t="s">
        <v>59</v>
      </c>
      <c r="F6" s="29" t="s">
        <v>41</v>
      </c>
      <c r="G6" s="29" t="s">
        <v>33</v>
      </c>
      <c r="H6" s="22">
        <v>0.9</v>
      </c>
      <c r="I6" s="40" t="s">
        <v>60</v>
      </c>
      <c r="J6" s="23"/>
      <c r="K6" s="23"/>
      <c r="L6" s="24" t="s">
        <v>7</v>
      </c>
      <c r="M6" s="18" t="s">
        <v>61</v>
      </c>
      <c r="N6" s="18" t="s">
        <v>62</v>
      </c>
      <c r="O6" s="24"/>
      <c r="P6" s="24"/>
      <c r="Q6" s="24"/>
      <c r="R6" s="24"/>
      <c r="S6" s="26" t="str">
        <f>IF(Project_Tracker[[#This Row],[Project Lead]]="", "", IFERROR(VLOOKUP(Project_Tracker[[#This Row],[Project Lead]], Setting!C:D, 2, 0), ""))</f>
        <v>ratih_putri@banpuindo.co.id</v>
      </c>
      <c r="T6" s="37"/>
      <c r="U6" s="37" t="str">
        <f>Project_Tracker[[#This Row],[Project Lead]]&amp;", "&amp;Project_Tracker[[#This Row],[Team Collaboration]]</f>
        <v>RRP, ALR</v>
      </c>
      <c r="V6" s="37"/>
      <c r="W6" s="37"/>
      <c r="X6" s="21"/>
      <c r="Y6" s="10"/>
      <c r="Z6" s="10"/>
      <c r="AC6" s="10">
        <v>2025</v>
      </c>
    </row>
    <row r="7" spans="1:29" ht="112.2" x14ac:dyDescent="0.3">
      <c r="A7" s="17">
        <v>7</v>
      </c>
      <c r="B7" s="18" t="s">
        <v>29</v>
      </c>
      <c r="C7" s="18" t="s">
        <v>52</v>
      </c>
      <c r="D7" s="20" t="s">
        <v>63</v>
      </c>
      <c r="E7" s="28" t="s">
        <v>64</v>
      </c>
      <c r="F7" s="29" t="s">
        <v>33</v>
      </c>
      <c r="G7" s="29" t="s">
        <v>65</v>
      </c>
      <c r="H7" s="22">
        <v>1</v>
      </c>
      <c r="I7" s="23">
        <v>46022</v>
      </c>
      <c r="J7" s="23">
        <v>45537</v>
      </c>
      <c r="K7" s="23">
        <v>46022</v>
      </c>
      <c r="L7" s="24" t="s">
        <v>55</v>
      </c>
      <c r="M7" s="18" t="s">
        <v>66</v>
      </c>
      <c r="N7" s="18" t="s">
        <v>67</v>
      </c>
      <c r="O7" s="21" t="s">
        <v>38</v>
      </c>
      <c r="P7" s="24">
        <f>Project_Tracker[[#This Row],[End Date]]-Project_Tracker[[#This Row],[Target Date]]</f>
        <v>0</v>
      </c>
      <c r="Q7" s="49"/>
      <c r="R7" s="24"/>
      <c r="S7" s="26" t="str">
        <f>IF(Project_Tracker[[#This Row],[Project Lead]]="", "", IFERROR(VLOOKUP(Project_Tracker[[#This Row],[Project Lead]], Setting!C:D, 2, 0), ""))</f>
        <v>aldy_rienaldy@banpuindo.co.id</v>
      </c>
      <c r="T7" s="37"/>
      <c r="U7" s="37" t="str">
        <f>Project_Tracker[[#This Row],[Project Lead]]&amp;", "&amp;Project_Tracker[[#This Row],[Team Collaboration]]</f>
        <v>ALR, ASN, RRP</v>
      </c>
      <c r="V7" s="37"/>
      <c r="W7" s="37"/>
      <c r="X7" s="21"/>
      <c r="Y7" s="10"/>
      <c r="Z7" s="10"/>
      <c r="AC7" s="10">
        <v>2025</v>
      </c>
    </row>
    <row r="8" spans="1:29" ht="20.399999999999999" x14ac:dyDescent="0.3">
      <c r="A8" s="17">
        <v>8</v>
      </c>
      <c r="B8" s="18" t="s">
        <v>29</v>
      </c>
      <c r="C8" s="18" t="s">
        <v>52</v>
      </c>
      <c r="D8" s="20" t="s">
        <v>68</v>
      </c>
      <c r="E8" s="28" t="s">
        <v>69</v>
      </c>
      <c r="F8" s="29" t="s">
        <v>48</v>
      </c>
      <c r="G8" s="29" t="s">
        <v>70</v>
      </c>
      <c r="H8" s="22">
        <v>1</v>
      </c>
      <c r="I8" s="40" t="s">
        <v>60</v>
      </c>
      <c r="J8" s="23"/>
      <c r="K8" s="23"/>
      <c r="L8" s="24" t="s">
        <v>55</v>
      </c>
      <c r="M8" s="18" t="s">
        <v>71</v>
      </c>
      <c r="N8" s="21" t="s">
        <v>72</v>
      </c>
      <c r="O8" s="24"/>
      <c r="P8" s="24"/>
      <c r="Q8" s="8"/>
      <c r="R8" s="24"/>
      <c r="S8" s="26" t="str">
        <f>IF(Project_Tracker[[#This Row],[Project Lead]]="", "", IFERROR(VLOOKUP(Project_Tracker[[#This Row],[Project Lead]], Setting!C:D, 2, 0), ""))</f>
        <v>aditya_r@banpuindo.co.id</v>
      </c>
      <c r="T8" s="37"/>
      <c r="U8" s="37" t="str">
        <f>Project_Tracker[[#This Row],[Project Lead]]&amp;", "&amp;Project_Tracker[[#This Row],[Team Collaboration]]</f>
        <v>ARS, DHI</v>
      </c>
      <c r="V8" s="37"/>
      <c r="W8" s="37"/>
      <c r="X8" s="21"/>
      <c r="Y8" s="10"/>
      <c r="Z8" s="10"/>
      <c r="AC8" s="10">
        <v>2025</v>
      </c>
    </row>
    <row r="9" spans="1:29" ht="20.399999999999999" x14ac:dyDescent="0.3">
      <c r="A9" s="17">
        <v>9</v>
      </c>
      <c r="B9" s="18" t="s">
        <v>29</v>
      </c>
      <c r="C9" s="18" t="s">
        <v>52</v>
      </c>
      <c r="D9" s="20" t="s">
        <v>73</v>
      </c>
      <c r="E9" s="58" t="s">
        <v>74</v>
      </c>
      <c r="F9" s="29" t="s">
        <v>33</v>
      </c>
      <c r="G9" s="29" t="s">
        <v>41</v>
      </c>
      <c r="H9" s="22">
        <v>0.85</v>
      </c>
      <c r="I9" s="23">
        <v>45838</v>
      </c>
      <c r="J9" s="23">
        <v>45474</v>
      </c>
      <c r="K9" s="23">
        <v>45838</v>
      </c>
      <c r="L9" s="24" t="s">
        <v>7</v>
      </c>
      <c r="M9" s="18" t="s">
        <v>75</v>
      </c>
      <c r="N9" s="18" t="s">
        <v>76</v>
      </c>
      <c r="O9" s="21" t="s">
        <v>38</v>
      </c>
      <c r="P9" s="24">
        <f>Project_Tracker[[#This Row],[End Date]]-Project_Tracker[[#This Row],[Target Date]]</f>
        <v>0</v>
      </c>
      <c r="Q9" s="49"/>
      <c r="R9" s="24"/>
      <c r="S9" s="26" t="str">
        <f>IF(Project_Tracker[[#This Row],[Project Lead]]="", "", IFERROR(VLOOKUP(Project_Tracker[[#This Row],[Project Lead]], Setting!C:D, 2, 0), ""))</f>
        <v>aldy_rienaldy@banpuindo.co.id</v>
      </c>
      <c r="T9" s="37"/>
      <c r="U9" s="37" t="str">
        <f>Project_Tracker[[#This Row],[Project Lead]]&amp;", "&amp;Project_Tracker[[#This Row],[Team Collaboration]]</f>
        <v>ALR, RRP</v>
      </c>
      <c r="V9" s="37"/>
      <c r="W9" s="37"/>
      <c r="X9" s="21"/>
      <c r="Y9" s="10"/>
      <c r="Z9" s="10"/>
      <c r="AC9" s="10">
        <v>2025</v>
      </c>
    </row>
    <row r="10" spans="1:29" ht="20.399999999999999" x14ac:dyDescent="0.3">
      <c r="A10" s="17">
        <v>10</v>
      </c>
      <c r="B10" s="18" t="s">
        <v>29</v>
      </c>
      <c r="C10" s="18" t="s">
        <v>52</v>
      </c>
      <c r="D10" s="20" t="s">
        <v>77</v>
      </c>
      <c r="E10" s="63" t="s">
        <v>78</v>
      </c>
      <c r="F10" s="29" t="s">
        <v>70</v>
      </c>
      <c r="G10" s="29" t="s">
        <v>33</v>
      </c>
      <c r="H10" s="22">
        <v>0</v>
      </c>
      <c r="I10" s="23">
        <v>45838</v>
      </c>
      <c r="J10" s="23"/>
      <c r="K10" s="23"/>
      <c r="L10" s="24" t="s">
        <v>35</v>
      </c>
      <c r="M10" s="18"/>
      <c r="N10" s="18"/>
      <c r="O10" s="18"/>
      <c r="P10" s="24"/>
      <c r="Q10" s="25"/>
      <c r="R10" s="26"/>
      <c r="S10" s="26" t="str">
        <f>IF(Project_Tracker[[#This Row],[Project Lead]]="", "", IFERROR(VLOOKUP(Project_Tracker[[#This Row],[Project Lead]], Setting!C:D, 2, 0), ""))</f>
        <v>dhany_indraswara@banpuindo.co.id</v>
      </c>
      <c r="T10" s="37"/>
      <c r="U10" s="37" t="str">
        <f>Project_Tracker[[#This Row],[Project Lead]]&amp;", "&amp;Project_Tracker[[#This Row],[Team Collaboration]]</f>
        <v>DHI, ALR</v>
      </c>
      <c r="V10" s="37"/>
      <c r="W10" s="37"/>
      <c r="X10" s="21"/>
      <c r="Y10" s="10"/>
      <c r="Z10" s="10"/>
      <c r="AC10" s="10">
        <v>2025</v>
      </c>
    </row>
    <row r="11" spans="1:29" ht="118.5" customHeight="1" x14ac:dyDescent="0.3">
      <c r="A11" s="17">
        <v>11</v>
      </c>
      <c r="B11" s="18" t="s">
        <v>29</v>
      </c>
      <c r="C11" s="18" t="s">
        <v>52</v>
      </c>
      <c r="D11" s="20" t="s">
        <v>79</v>
      </c>
      <c r="E11" s="58" t="s">
        <v>80</v>
      </c>
      <c r="F11" s="29" t="s">
        <v>33</v>
      </c>
      <c r="G11" s="29" t="s">
        <v>41</v>
      </c>
      <c r="H11" s="22">
        <v>1</v>
      </c>
      <c r="I11" s="23">
        <v>45838</v>
      </c>
      <c r="J11" s="23">
        <v>45590</v>
      </c>
      <c r="K11" s="23">
        <v>45838</v>
      </c>
      <c r="L11" s="24" t="s">
        <v>55</v>
      </c>
      <c r="M11" s="18" t="s">
        <v>81</v>
      </c>
      <c r="N11" s="18" t="s">
        <v>82</v>
      </c>
      <c r="O11" s="21" t="s">
        <v>38</v>
      </c>
      <c r="P11" s="24">
        <f>Project_Tracker[[#This Row],[End Date]]-Project_Tracker[[#This Row],[Target Date]]</f>
        <v>0</v>
      </c>
      <c r="Q11" s="24"/>
      <c r="R11" s="24"/>
      <c r="S11" s="26" t="str">
        <f>IF(Project_Tracker[[#This Row],[Project Lead]]="", "", IFERROR(VLOOKUP(Project_Tracker[[#This Row],[Project Lead]], Setting!C:D, 2, 0), ""))</f>
        <v>aldy_rienaldy@banpuindo.co.id</v>
      </c>
      <c r="T11" s="37"/>
      <c r="U11" s="37" t="str">
        <f>Project_Tracker[[#This Row],[Project Lead]]&amp;", "&amp;Project_Tracker[[#This Row],[Team Collaboration]]</f>
        <v>ALR, RRP</v>
      </c>
      <c r="V11" s="37"/>
      <c r="W11" s="37"/>
      <c r="X11" s="21"/>
      <c r="Y11" s="10"/>
      <c r="Z11" s="10"/>
      <c r="AC11" s="10">
        <v>2025</v>
      </c>
    </row>
    <row r="12" spans="1:29" ht="20.399999999999999" x14ac:dyDescent="0.3">
      <c r="A12" s="17">
        <v>12</v>
      </c>
      <c r="B12" s="18" t="s">
        <v>29</v>
      </c>
      <c r="C12" s="18" t="s">
        <v>52</v>
      </c>
      <c r="D12" s="20" t="s">
        <v>83</v>
      </c>
      <c r="E12" s="28" t="s">
        <v>84</v>
      </c>
      <c r="F12" s="29" t="s">
        <v>41</v>
      </c>
      <c r="G12" s="29" t="s">
        <v>85</v>
      </c>
      <c r="H12" s="22">
        <v>0</v>
      </c>
      <c r="I12" s="40" t="s">
        <v>43</v>
      </c>
      <c r="J12" s="23"/>
      <c r="K12" s="23"/>
      <c r="L12" s="24" t="s">
        <v>44</v>
      </c>
      <c r="M12" s="24"/>
      <c r="N12" s="24"/>
      <c r="O12" s="24"/>
      <c r="P12" s="24"/>
      <c r="Q12" s="24"/>
      <c r="R12" s="24"/>
      <c r="S12" s="26" t="str">
        <f>IF(Project_Tracker[[#This Row],[Project Lead]]="", "", IFERROR(VLOOKUP(Project_Tracker[[#This Row],[Project Lead]], Setting!C:D, 2, 0), ""))</f>
        <v>ratih_putri@banpuindo.co.id</v>
      </c>
      <c r="T12" s="37"/>
      <c r="U12" s="37" t="str">
        <f>Project_Tracker[[#This Row],[Project Lead]]&amp;", "&amp;Project_Tracker[[#This Row],[Team Collaboration]]</f>
        <v>RRP, ASN</v>
      </c>
      <c r="V12" s="37"/>
      <c r="W12" s="37"/>
      <c r="X12" s="21"/>
      <c r="Y12" s="10"/>
      <c r="Z12" s="10"/>
      <c r="AC12" s="10">
        <v>2025</v>
      </c>
    </row>
    <row r="13" spans="1:29" ht="20.399999999999999" x14ac:dyDescent="0.3">
      <c r="A13" s="17">
        <v>13</v>
      </c>
      <c r="B13" s="18" t="s">
        <v>29</v>
      </c>
      <c r="C13" s="18" t="s">
        <v>86</v>
      </c>
      <c r="D13" s="20" t="s">
        <v>53</v>
      </c>
      <c r="E13" s="63" t="s">
        <v>87</v>
      </c>
      <c r="F13" s="29" t="s">
        <v>70</v>
      </c>
      <c r="G13" s="29" t="s">
        <v>48</v>
      </c>
      <c r="H13" s="22">
        <v>0</v>
      </c>
      <c r="I13" s="23">
        <v>46015</v>
      </c>
      <c r="J13" s="23"/>
      <c r="K13" s="23"/>
      <c r="L13" s="24" t="s">
        <v>44</v>
      </c>
      <c r="M13" s="18"/>
      <c r="N13" s="18"/>
      <c r="O13" s="18" t="s">
        <v>88</v>
      </c>
      <c r="P13" s="24"/>
      <c r="Q13" s="24"/>
      <c r="R13" s="24"/>
      <c r="S13" s="26" t="str">
        <f>IF(Project_Tracker[[#This Row],[Project Lead]]="", "", IFERROR(VLOOKUP(Project_Tracker[[#This Row],[Project Lead]], Setting!C:D, 2, 0), ""))</f>
        <v>dhany_indraswara@banpuindo.co.id</v>
      </c>
      <c r="T13" s="37"/>
      <c r="U13" s="37" t="str">
        <f>Project_Tracker[[#This Row],[Project Lead]]&amp;", "&amp;Project_Tracker[[#This Row],[Team Collaboration]]</f>
        <v>DHI, ARS</v>
      </c>
      <c r="V13" s="37"/>
      <c r="W13" s="37"/>
      <c r="X13" s="21"/>
      <c r="Y13" s="10"/>
      <c r="Z13" s="10"/>
      <c r="AC13" s="10">
        <v>2025</v>
      </c>
    </row>
    <row r="14" spans="1:29" ht="78" customHeight="1" x14ac:dyDescent="0.3">
      <c r="A14" s="17">
        <v>14</v>
      </c>
      <c r="B14" s="18" t="s">
        <v>29</v>
      </c>
      <c r="C14" s="18"/>
      <c r="D14" s="31" t="s">
        <v>89</v>
      </c>
      <c r="E14" s="28" t="s">
        <v>90</v>
      </c>
      <c r="F14" s="20" t="s">
        <v>33</v>
      </c>
      <c r="G14" s="20" t="s">
        <v>91</v>
      </c>
      <c r="H14" s="22">
        <v>1</v>
      </c>
      <c r="I14" s="23">
        <v>46021</v>
      </c>
      <c r="J14" s="23">
        <v>45689</v>
      </c>
      <c r="K14" s="23">
        <v>46021</v>
      </c>
      <c r="L14" s="24" t="s">
        <v>55</v>
      </c>
      <c r="M14" s="18" t="s">
        <v>92</v>
      </c>
      <c r="N14" s="18" t="s">
        <v>93</v>
      </c>
      <c r="O14" s="21" t="s">
        <v>38</v>
      </c>
      <c r="P14" s="24">
        <f>Project_Tracker[[#This Row],[End Date]]-Project_Tracker[[#This Row],[Target Date]]</f>
        <v>0</v>
      </c>
      <c r="Q14" s="24"/>
      <c r="R14" s="24"/>
      <c r="S14" s="26" t="str">
        <f>IF(Project_Tracker[[#This Row],[Project Lead]]="", "", IFERROR(VLOOKUP(Project_Tracker[[#This Row],[Project Lead]], Setting!C:D, 2, 0), ""))</f>
        <v>aldy_rienaldy@banpuindo.co.id</v>
      </c>
      <c r="T14" s="37"/>
      <c r="U14" s="37" t="str">
        <f>Project_Tracker[[#This Row],[Project Lead]]&amp;", "&amp;Project_Tracker[[#This Row],[Team Collaboration]]</f>
        <v>ALR, ARS, RRP, DHI</v>
      </c>
      <c r="V14" s="37"/>
      <c r="W14" s="37"/>
      <c r="X14" s="21"/>
      <c r="Y14" s="10"/>
      <c r="Z14" s="10"/>
      <c r="AC14" s="10">
        <v>2025</v>
      </c>
    </row>
    <row r="15" spans="1:29" ht="71.400000000000006" x14ac:dyDescent="0.3">
      <c r="A15" s="17">
        <v>15</v>
      </c>
      <c r="B15" s="18" t="s">
        <v>29</v>
      </c>
      <c r="C15" s="18"/>
      <c r="D15" s="31" t="s">
        <v>94</v>
      </c>
      <c r="E15" s="35" t="s">
        <v>95</v>
      </c>
      <c r="F15" s="20" t="s">
        <v>85</v>
      </c>
      <c r="G15" s="20" t="s">
        <v>96</v>
      </c>
      <c r="H15" s="22">
        <v>0.95</v>
      </c>
      <c r="I15" s="40" t="s">
        <v>60</v>
      </c>
      <c r="J15" s="23">
        <v>45699</v>
      </c>
      <c r="K15" s="23">
        <v>45777</v>
      </c>
      <c r="L15" s="24" t="s">
        <v>7</v>
      </c>
      <c r="M15" s="18" t="s">
        <v>97</v>
      </c>
      <c r="N15" s="24"/>
      <c r="O15" s="24"/>
      <c r="P15" s="24"/>
      <c r="Q15" s="24"/>
      <c r="R15" s="24"/>
      <c r="S15" s="26" t="str">
        <f>IF(Project_Tracker[[#This Row],[Project Lead]]="", "", IFERROR(VLOOKUP(Project_Tracker[[#This Row],[Project Lead]], Setting!C:D, 2, 0), ""))</f>
        <v>andri_s@banpuindo.co.id</v>
      </c>
      <c r="T15" s="37"/>
      <c r="U15" s="37" t="str">
        <f>Project_Tracker[[#This Row],[Project Lead]]&amp;", "&amp;Project_Tracker[[#This Row],[Team Collaboration]]</f>
        <v>ASN, ALR, ARS, RRP, DHI</v>
      </c>
      <c r="V15" s="37"/>
      <c r="W15" s="37"/>
      <c r="X15" s="21"/>
      <c r="Y15" s="10"/>
      <c r="Z15" s="10"/>
      <c r="AC15" s="10">
        <v>2025</v>
      </c>
    </row>
    <row r="16" spans="1:29" ht="61.2" x14ac:dyDescent="0.3">
      <c r="A16" s="17">
        <v>16</v>
      </c>
      <c r="B16" s="18" t="s">
        <v>29</v>
      </c>
      <c r="C16" s="35" t="s">
        <v>98</v>
      </c>
      <c r="D16" s="51" t="s">
        <v>99</v>
      </c>
      <c r="E16" s="34" t="s">
        <v>100</v>
      </c>
      <c r="F16" s="9" t="s">
        <v>33</v>
      </c>
      <c r="G16" s="9" t="s">
        <v>48</v>
      </c>
      <c r="H16" s="22">
        <v>1</v>
      </c>
      <c r="I16" s="23">
        <v>45670</v>
      </c>
      <c r="J16" s="23">
        <v>45461</v>
      </c>
      <c r="K16" s="23">
        <v>45670</v>
      </c>
      <c r="L16" s="24" t="s">
        <v>55</v>
      </c>
      <c r="M16" s="18" t="s">
        <v>101</v>
      </c>
      <c r="N16" s="18" t="s">
        <v>102</v>
      </c>
      <c r="O16" s="21" t="s">
        <v>38</v>
      </c>
      <c r="P16" s="24">
        <f>Project_Tracker[[#This Row],[End Date]]-Project_Tracker[[#This Row],[Target Date]]</f>
        <v>0</v>
      </c>
      <c r="Q16" s="49"/>
      <c r="R16" s="24"/>
      <c r="S16" s="26" t="str">
        <f>IF(Project_Tracker[[#This Row],[Project Lead]]="", "", IFERROR(VLOOKUP(Project_Tracker[[#This Row],[Project Lead]], Setting!C:D, 2, 0), ""))</f>
        <v>aldy_rienaldy@banpuindo.co.id</v>
      </c>
      <c r="T16" s="37"/>
      <c r="U16" s="37" t="str">
        <f>Project_Tracker[[#This Row],[Project Lead]]&amp;", "&amp;Project_Tracker[[#This Row],[Team Collaboration]]</f>
        <v>ALR, ARS</v>
      </c>
      <c r="V16" s="37"/>
      <c r="W16" s="37"/>
      <c r="X16" s="21"/>
      <c r="Y16" s="10"/>
      <c r="Z16" s="10"/>
      <c r="AC16" s="10">
        <v>2025</v>
      </c>
    </row>
    <row r="17" spans="1:29" ht="20.399999999999999" x14ac:dyDescent="0.3">
      <c r="A17" s="17">
        <v>17</v>
      </c>
      <c r="B17" s="18" t="s">
        <v>29</v>
      </c>
      <c r="C17" s="35" t="s">
        <v>103</v>
      </c>
      <c r="D17" s="51" t="s">
        <v>104</v>
      </c>
      <c r="E17" s="34" t="s">
        <v>105</v>
      </c>
      <c r="F17" s="9" t="s">
        <v>41</v>
      </c>
      <c r="G17" s="38" t="s">
        <v>33</v>
      </c>
      <c r="H17" s="22">
        <v>1</v>
      </c>
      <c r="I17" s="40" t="s">
        <v>106</v>
      </c>
      <c r="J17" s="23"/>
      <c r="K17" s="23"/>
      <c r="L17" s="24" t="s">
        <v>55</v>
      </c>
      <c r="M17" s="18" t="s">
        <v>107</v>
      </c>
      <c r="N17" s="24"/>
      <c r="O17" s="105"/>
      <c r="P17" s="24"/>
      <c r="Q17" s="24"/>
      <c r="R17" s="24"/>
      <c r="S17" s="26" t="str">
        <f>IF(Project_Tracker[[#This Row],[Project Lead]]="", "", IFERROR(VLOOKUP(Project_Tracker[[#This Row],[Project Lead]], Setting!C:D, 2, 0), ""))</f>
        <v>ratih_putri@banpuindo.co.id</v>
      </c>
      <c r="T17" s="37"/>
      <c r="U17" s="37" t="str">
        <f>Project_Tracker[[#This Row],[Project Lead]]&amp;", "&amp;Project_Tracker[[#This Row],[Team Collaboration]]</f>
        <v>RRP, ALR</v>
      </c>
      <c r="V17" s="37"/>
      <c r="W17" s="37"/>
      <c r="X17" s="21"/>
      <c r="Y17" s="10"/>
      <c r="Z17" s="10"/>
      <c r="AC17" s="10">
        <v>2025</v>
      </c>
    </row>
    <row r="18" spans="1:29" ht="20.399999999999999" x14ac:dyDescent="0.3">
      <c r="A18" s="17">
        <v>18</v>
      </c>
      <c r="B18" s="18" t="s">
        <v>29</v>
      </c>
      <c r="C18" s="35" t="s">
        <v>103</v>
      </c>
      <c r="D18" s="51" t="s">
        <v>108</v>
      </c>
      <c r="E18" s="44" t="s">
        <v>109</v>
      </c>
      <c r="F18" s="9" t="s">
        <v>48</v>
      </c>
      <c r="G18" s="9" t="s">
        <v>70</v>
      </c>
      <c r="H18" s="22">
        <v>0.5</v>
      </c>
      <c r="I18" s="40" t="s">
        <v>106</v>
      </c>
      <c r="J18" s="23"/>
      <c r="K18" s="23"/>
      <c r="L18" s="24" t="s">
        <v>44</v>
      </c>
      <c r="M18" s="24"/>
      <c r="N18" s="24"/>
      <c r="O18" s="62" t="s">
        <v>110</v>
      </c>
      <c r="P18" s="24"/>
      <c r="Q18" s="24"/>
      <c r="R18" s="24"/>
      <c r="S18" s="26" t="str">
        <f>IF(Project_Tracker[[#This Row],[Project Lead]]="", "", IFERROR(VLOOKUP(Project_Tracker[[#This Row],[Project Lead]], Setting!C:D, 2, 0), ""))</f>
        <v>aditya_r@banpuindo.co.id</v>
      </c>
      <c r="T18" s="37"/>
      <c r="U18" s="37" t="str">
        <f>Project_Tracker[[#This Row],[Project Lead]]&amp;", "&amp;Project_Tracker[[#This Row],[Team Collaboration]]</f>
        <v>ARS, DHI</v>
      </c>
      <c r="V18" s="37"/>
      <c r="W18" s="37"/>
      <c r="X18" s="21"/>
      <c r="Y18" s="10"/>
      <c r="Z18" s="10"/>
      <c r="AC18" s="10">
        <v>2025</v>
      </c>
    </row>
    <row r="19" spans="1:29" ht="222.75" customHeight="1" x14ac:dyDescent="0.3">
      <c r="A19" s="17">
        <v>19</v>
      </c>
      <c r="B19" s="18" t="s">
        <v>29</v>
      </c>
      <c r="C19" s="35" t="s">
        <v>103</v>
      </c>
      <c r="D19" s="51" t="s">
        <v>111</v>
      </c>
      <c r="E19" s="34" t="s">
        <v>112</v>
      </c>
      <c r="F19" s="9" t="s">
        <v>41</v>
      </c>
      <c r="G19" s="9" t="s">
        <v>48</v>
      </c>
      <c r="H19" s="22">
        <v>1</v>
      </c>
      <c r="I19" s="40" t="s">
        <v>60</v>
      </c>
      <c r="J19" s="23"/>
      <c r="K19" s="23"/>
      <c r="L19" s="24" t="s">
        <v>55</v>
      </c>
      <c r="M19" s="18" t="s">
        <v>113</v>
      </c>
      <c r="N19" s="20"/>
      <c r="O19" s="24"/>
      <c r="P19" s="24"/>
      <c r="Q19" s="24"/>
      <c r="R19" s="24"/>
      <c r="S19" s="26" t="str">
        <f>IF(Project_Tracker[[#This Row],[Project Lead]]="", "", IFERROR(VLOOKUP(Project_Tracker[[#This Row],[Project Lead]], Setting!C:D, 2, 0), ""))</f>
        <v>ratih_putri@banpuindo.co.id</v>
      </c>
      <c r="T19" s="37"/>
      <c r="U19" s="37" t="str">
        <f>Project_Tracker[[#This Row],[Project Lead]]&amp;", "&amp;Project_Tracker[[#This Row],[Team Collaboration]]</f>
        <v>RRP, ARS</v>
      </c>
      <c r="V19" s="37"/>
      <c r="W19" s="37"/>
      <c r="X19" s="21"/>
      <c r="Y19" s="10"/>
      <c r="Z19" s="10"/>
      <c r="AC19" s="10">
        <v>2025</v>
      </c>
    </row>
    <row r="20" spans="1:29" ht="71.400000000000006" x14ac:dyDescent="0.3">
      <c r="A20" s="17">
        <v>20</v>
      </c>
      <c r="B20" s="18" t="s">
        <v>29</v>
      </c>
      <c r="C20" s="35" t="s">
        <v>103</v>
      </c>
      <c r="D20" s="51" t="s">
        <v>114</v>
      </c>
      <c r="E20" s="34" t="s">
        <v>87</v>
      </c>
      <c r="F20" s="9" t="s">
        <v>70</v>
      </c>
      <c r="G20" s="9" t="s">
        <v>48</v>
      </c>
      <c r="H20" s="22">
        <v>1</v>
      </c>
      <c r="I20" s="23">
        <v>45681</v>
      </c>
      <c r="J20" s="23">
        <v>45658</v>
      </c>
      <c r="K20" s="23">
        <v>45681</v>
      </c>
      <c r="L20" s="24" t="s">
        <v>55</v>
      </c>
      <c r="M20" s="50" t="s">
        <v>115</v>
      </c>
      <c r="N20" s="18" t="s">
        <v>116</v>
      </c>
      <c r="O20" s="18" t="s">
        <v>38</v>
      </c>
      <c r="P20" s="24">
        <f>Project_Tracker[[#This Row],[End Date]]-Project_Tracker[[#This Row],[Target Date]]</f>
        <v>0</v>
      </c>
      <c r="Q20" s="49"/>
      <c r="R20" s="24"/>
      <c r="S20" s="26" t="str">
        <f>IF(Project_Tracker[[#This Row],[Project Lead]]="", "", IFERROR(VLOOKUP(Project_Tracker[[#This Row],[Project Lead]], Setting!C:D, 2, 0), ""))</f>
        <v>dhany_indraswara@banpuindo.co.id</v>
      </c>
      <c r="T20" s="37"/>
      <c r="U20" s="37" t="str">
        <f>Project_Tracker[[#This Row],[Project Lead]]&amp;", "&amp;Project_Tracker[[#This Row],[Team Collaboration]]</f>
        <v>DHI, ARS</v>
      </c>
      <c r="V20" s="37"/>
      <c r="W20" s="37"/>
      <c r="X20" s="21"/>
      <c r="Y20" s="10"/>
      <c r="Z20" s="10"/>
      <c r="AC20" s="10">
        <v>2025</v>
      </c>
    </row>
    <row r="21" spans="1:29" ht="61.2" x14ac:dyDescent="0.3">
      <c r="A21" s="17">
        <v>21</v>
      </c>
      <c r="B21" s="18" t="s">
        <v>29</v>
      </c>
      <c r="C21" s="35" t="s">
        <v>103</v>
      </c>
      <c r="D21" s="51" t="s">
        <v>117</v>
      </c>
      <c r="E21" s="34" t="s">
        <v>118</v>
      </c>
      <c r="F21" s="9" t="s">
        <v>33</v>
      </c>
      <c r="G21" s="9" t="s">
        <v>119</v>
      </c>
      <c r="H21" s="22">
        <v>0.73</v>
      </c>
      <c r="I21" s="23">
        <v>45930</v>
      </c>
      <c r="J21" s="23">
        <v>45323</v>
      </c>
      <c r="K21" s="23">
        <v>45930</v>
      </c>
      <c r="L21" s="24" t="s">
        <v>7</v>
      </c>
      <c r="M21" s="18" t="s">
        <v>120</v>
      </c>
      <c r="N21" s="18" t="s">
        <v>121</v>
      </c>
      <c r="O21" s="21" t="s">
        <v>38</v>
      </c>
      <c r="P21" s="24">
        <f>Project_Tracker[[#This Row],[End Date]]-Project_Tracker[[#This Row],[Target Date]]</f>
        <v>0</v>
      </c>
      <c r="Q21" s="49"/>
      <c r="R21" s="24"/>
      <c r="S21" s="26" t="str">
        <f>IF(Project_Tracker[[#This Row],[Project Lead]]="", "", IFERROR(VLOOKUP(Project_Tracker[[#This Row],[Project Lead]], Setting!C:D, 2, 0), ""))</f>
        <v>aldy_rienaldy@banpuindo.co.id</v>
      </c>
      <c r="T21" s="37"/>
      <c r="U21" s="37" t="str">
        <f>Project_Tracker[[#This Row],[Project Lead]]&amp;", "&amp;Project_Tracker[[#This Row],[Team Collaboration]]</f>
        <v>ALR, ARS, RRP, DHI, RSW, BEY</v>
      </c>
      <c r="V21" s="37"/>
      <c r="W21" s="37"/>
      <c r="X21" s="21"/>
      <c r="Y21" s="10"/>
      <c r="Z21" s="10"/>
      <c r="AC21" s="10">
        <v>2025</v>
      </c>
    </row>
    <row r="22" spans="1:29" ht="81.599999999999994" x14ac:dyDescent="0.3">
      <c r="A22" s="17">
        <v>22</v>
      </c>
      <c r="B22" s="18" t="s">
        <v>29</v>
      </c>
      <c r="C22" s="35" t="s">
        <v>98</v>
      </c>
      <c r="D22" s="51" t="s">
        <v>122</v>
      </c>
      <c r="E22" s="34" t="s">
        <v>123</v>
      </c>
      <c r="F22" s="9" t="s">
        <v>41</v>
      </c>
      <c r="G22" s="9" t="s">
        <v>48</v>
      </c>
      <c r="H22" s="22">
        <v>1</v>
      </c>
      <c r="I22" s="40" t="s">
        <v>60</v>
      </c>
      <c r="J22" s="23"/>
      <c r="K22" s="23"/>
      <c r="L22" s="24" t="s">
        <v>55</v>
      </c>
      <c r="M22" s="18" t="s">
        <v>124</v>
      </c>
      <c r="N22" s="20"/>
      <c r="O22" s="24"/>
      <c r="P22" s="24"/>
      <c r="Q22" s="24"/>
      <c r="R22" s="24"/>
      <c r="S22" s="26" t="str">
        <f>IF(Project_Tracker[[#This Row],[Project Lead]]="", "", IFERROR(VLOOKUP(Project_Tracker[[#This Row],[Project Lead]], Setting!C:D, 2, 0), ""))</f>
        <v>ratih_putri@banpuindo.co.id</v>
      </c>
      <c r="T22" s="37"/>
      <c r="U22" s="37" t="str">
        <f>Project_Tracker[[#This Row],[Project Lead]]&amp;", "&amp;Project_Tracker[[#This Row],[Team Collaboration]]</f>
        <v>RRP, ARS</v>
      </c>
      <c r="V22" s="37"/>
      <c r="W22" s="37"/>
      <c r="X22" s="21"/>
      <c r="Y22" s="10"/>
      <c r="Z22" s="10"/>
      <c r="AC22" s="10">
        <v>2025</v>
      </c>
    </row>
    <row r="23" spans="1:29" ht="91.8" x14ac:dyDescent="0.3">
      <c r="A23" s="17">
        <v>23</v>
      </c>
      <c r="B23" s="18" t="s">
        <v>29</v>
      </c>
      <c r="C23" s="35" t="s">
        <v>98</v>
      </c>
      <c r="D23" s="51" t="s">
        <v>125</v>
      </c>
      <c r="E23" s="59" t="s">
        <v>126</v>
      </c>
      <c r="F23" s="9" t="s">
        <v>33</v>
      </c>
      <c r="G23" s="9" t="s">
        <v>91</v>
      </c>
      <c r="H23" s="22">
        <v>0.79</v>
      </c>
      <c r="I23" s="23">
        <v>45838</v>
      </c>
      <c r="J23" s="23">
        <v>45708</v>
      </c>
      <c r="K23" s="23">
        <v>45838</v>
      </c>
      <c r="L23" s="24" t="s">
        <v>7</v>
      </c>
      <c r="M23" s="18" t="s">
        <v>36</v>
      </c>
      <c r="N23" s="86" t="s">
        <v>127</v>
      </c>
      <c r="O23" s="21" t="s">
        <v>38</v>
      </c>
      <c r="P23" s="24">
        <f>Project_Tracker[[#This Row],[End Date]]-Project_Tracker[[#This Row],[Target Date]]</f>
        <v>0</v>
      </c>
      <c r="Q23" s="24"/>
      <c r="R23" s="24"/>
      <c r="S23" s="26" t="str">
        <f>IF(Project_Tracker[[#This Row],[Project Lead]]="", "", IFERROR(VLOOKUP(Project_Tracker[[#This Row],[Project Lead]], Setting!C:D, 2, 0), ""))</f>
        <v>aldy_rienaldy@banpuindo.co.id</v>
      </c>
      <c r="T23" s="37"/>
      <c r="U23" s="37" t="str">
        <f>Project_Tracker[[#This Row],[Project Lead]]&amp;", "&amp;Project_Tracker[[#This Row],[Team Collaboration]]</f>
        <v>ALR, ARS, RRP, DHI</v>
      </c>
      <c r="V23" s="37"/>
      <c r="W23" s="37"/>
      <c r="X23" s="21"/>
      <c r="Y23" s="10"/>
      <c r="Z23" s="10"/>
      <c r="AC23" s="10">
        <v>2025</v>
      </c>
    </row>
    <row r="24" spans="1:29" ht="20.399999999999999" x14ac:dyDescent="0.3">
      <c r="A24" s="17">
        <v>24</v>
      </c>
      <c r="B24" s="18" t="s">
        <v>29</v>
      </c>
      <c r="C24" s="35" t="s">
        <v>103</v>
      </c>
      <c r="D24" s="51" t="s">
        <v>128</v>
      </c>
      <c r="E24" s="44" t="s">
        <v>129</v>
      </c>
      <c r="F24" s="9" t="s">
        <v>41</v>
      </c>
      <c r="G24" s="9" t="s">
        <v>33</v>
      </c>
      <c r="H24" s="22">
        <v>0.2</v>
      </c>
      <c r="I24" s="40" t="s">
        <v>50</v>
      </c>
      <c r="J24" s="23"/>
      <c r="K24" s="23"/>
      <c r="L24" s="24" t="s">
        <v>35</v>
      </c>
      <c r="M24" s="24"/>
      <c r="N24" s="24"/>
      <c r="O24" s="20" t="s">
        <v>51</v>
      </c>
      <c r="P24" s="24"/>
      <c r="Q24" s="24"/>
      <c r="R24" s="24"/>
      <c r="S24" s="26" t="str">
        <f>IF(Project_Tracker[[#This Row],[Project Lead]]="", "", IFERROR(VLOOKUP(Project_Tracker[[#This Row],[Project Lead]], Setting!C:D, 2, 0), ""))</f>
        <v>ratih_putri@banpuindo.co.id</v>
      </c>
      <c r="T24" s="37"/>
      <c r="U24" s="37" t="str">
        <f>Project_Tracker[[#This Row],[Project Lead]]&amp;", "&amp;Project_Tracker[[#This Row],[Team Collaboration]]</f>
        <v>RRP, ALR</v>
      </c>
      <c r="V24" s="37"/>
      <c r="W24" s="37"/>
      <c r="X24" s="21"/>
      <c r="Y24" s="10"/>
      <c r="Z24" s="10"/>
      <c r="AC24" s="10">
        <v>2025</v>
      </c>
    </row>
    <row r="25" spans="1:29" ht="20.399999999999999" x14ac:dyDescent="0.3">
      <c r="A25" s="17">
        <v>25</v>
      </c>
      <c r="B25" s="18" t="s">
        <v>29</v>
      </c>
      <c r="C25" s="35" t="s">
        <v>103</v>
      </c>
      <c r="D25" s="52" t="s">
        <v>99</v>
      </c>
      <c r="E25" s="44" t="s">
        <v>130</v>
      </c>
      <c r="F25" s="9" t="s">
        <v>48</v>
      </c>
      <c r="G25" s="9" t="s">
        <v>49</v>
      </c>
      <c r="H25" s="22">
        <v>0</v>
      </c>
      <c r="I25" s="40" t="s">
        <v>50</v>
      </c>
      <c r="J25" s="23"/>
      <c r="K25" s="23"/>
      <c r="L25" s="24" t="s">
        <v>44</v>
      </c>
      <c r="M25" s="20" t="s">
        <v>131</v>
      </c>
      <c r="N25" s="24"/>
      <c r="O25" s="18" t="s">
        <v>51</v>
      </c>
      <c r="P25" s="24"/>
      <c r="Q25" s="24"/>
      <c r="R25" s="24"/>
      <c r="S25" s="26" t="str">
        <f>IF(Project_Tracker[[#This Row],[Project Lead]]="", "", IFERROR(VLOOKUP(Project_Tracker[[#This Row],[Project Lead]], Setting!C:D, 2, 0), ""))</f>
        <v>aditya_r@banpuindo.co.id</v>
      </c>
      <c r="T25" s="37"/>
      <c r="U25" s="37" t="str">
        <f>Project_Tracker[[#This Row],[Project Lead]]&amp;", "&amp;Project_Tracker[[#This Row],[Team Collaboration]]</f>
        <v>ARS, ALR, DHI, RRP</v>
      </c>
      <c r="V25" s="37"/>
      <c r="W25" s="37"/>
      <c r="X25" s="21"/>
      <c r="Y25" s="10"/>
      <c r="Z25" s="10"/>
      <c r="AC25" s="10">
        <v>2025</v>
      </c>
    </row>
    <row r="26" spans="1:29" ht="40.799999999999997" x14ac:dyDescent="0.3">
      <c r="A26" s="17">
        <v>26</v>
      </c>
      <c r="B26" s="18" t="s">
        <v>29</v>
      </c>
      <c r="C26" s="35" t="s">
        <v>103</v>
      </c>
      <c r="D26" s="51" t="s">
        <v>132</v>
      </c>
      <c r="E26" s="59" t="s">
        <v>133</v>
      </c>
      <c r="F26" s="9" t="s">
        <v>48</v>
      </c>
      <c r="G26" s="9" t="s">
        <v>70</v>
      </c>
      <c r="H26" s="22">
        <v>0.85</v>
      </c>
      <c r="I26" s="40" t="s">
        <v>134</v>
      </c>
      <c r="J26" s="23">
        <v>45677</v>
      </c>
      <c r="K26" s="23">
        <v>46021</v>
      </c>
      <c r="L26" s="24" t="s">
        <v>7</v>
      </c>
      <c r="M26" s="18" t="s">
        <v>135</v>
      </c>
      <c r="N26" s="18" t="s">
        <v>136</v>
      </c>
      <c r="O26" s="18"/>
      <c r="P26" s="24"/>
      <c r="Q26" s="24"/>
      <c r="R26" s="24"/>
      <c r="S26" s="26" t="str">
        <f>IF(Project_Tracker[[#This Row],[Project Lead]]="", "", IFERROR(VLOOKUP(Project_Tracker[[#This Row],[Project Lead]], Setting!C:D, 2, 0), ""))</f>
        <v>aditya_r@banpuindo.co.id</v>
      </c>
      <c r="T26" s="37"/>
      <c r="U26" s="37" t="str">
        <f>Project_Tracker[[#This Row],[Project Lead]]&amp;", "&amp;Project_Tracker[[#This Row],[Team Collaboration]]</f>
        <v>ARS, DHI</v>
      </c>
      <c r="V26" s="37"/>
      <c r="W26" s="37"/>
      <c r="X26" s="21"/>
      <c r="Y26" s="10"/>
      <c r="Z26" s="10"/>
      <c r="AC26" s="10">
        <v>2025</v>
      </c>
    </row>
    <row r="27" spans="1:29" ht="81.599999999999994" x14ac:dyDescent="0.3">
      <c r="A27" s="17">
        <v>28</v>
      </c>
      <c r="B27" s="18" t="s">
        <v>29</v>
      </c>
      <c r="C27" s="35" t="s">
        <v>98</v>
      </c>
      <c r="D27" s="52" t="s">
        <v>137</v>
      </c>
      <c r="E27" s="35" t="s">
        <v>98</v>
      </c>
      <c r="F27" s="9" t="s">
        <v>33</v>
      </c>
      <c r="G27" s="9" t="s">
        <v>70</v>
      </c>
      <c r="H27" s="22">
        <v>1</v>
      </c>
      <c r="I27" s="23">
        <v>45852</v>
      </c>
      <c r="J27" s="23">
        <v>45719</v>
      </c>
      <c r="K27" s="23">
        <v>45852</v>
      </c>
      <c r="L27" s="24" t="s">
        <v>55</v>
      </c>
      <c r="M27" s="18" t="s">
        <v>138</v>
      </c>
      <c r="N27" s="18" t="s">
        <v>82</v>
      </c>
      <c r="O27" s="18"/>
      <c r="P27" s="24">
        <f>Project_Tracker[[#This Row],[End Date]]-Project_Tracker[[#This Row],[Target Date]]</f>
        <v>0</v>
      </c>
      <c r="Q27" s="24"/>
      <c r="R27" s="24"/>
      <c r="S27" s="26" t="str">
        <f>IF(Project_Tracker[[#This Row],[Project Lead]]="", "", IFERROR(VLOOKUP(Project_Tracker[[#This Row],[Project Lead]], Setting!C:D, 2, 0), ""))</f>
        <v>aldy_rienaldy@banpuindo.co.id</v>
      </c>
      <c r="T27" s="37"/>
      <c r="U27" s="37" t="str">
        <f>Project_Tracker[[#This Row],[Project Lead]]&amp;", "&amp;Project_Tracker[[#This Row],[Team Collaboration]]</f>
        <v>ALR, DHI</v>
      </c>
      <c r="V27" s="37"/>
      <c r="W27" s="37"/>
      <c r="X27" s="21"/>
      <c r="Y27" s="10"/>
      <c r="Z27" s="10"/>
      <c r="AC27" s="10">
        <v>2025</v>
      </c>
    </row>
    <row r="28" spans="1:29" ht="20.399999999999999" x14ac:dyDescent="0.3">
      <c r="A28" s="17">
        <v>29</v>
      </c>
      <c r="B28" s="18" t="s">
        <v>29</v>
      </c>
      <c r="C28" s="35" t="s">
        <v>103</v>
      </c>
      <c r="D28" s="51" t="s">
        <v>139</v>
      </c>
      <c r="E28" s="34" t="s">
        <v>140</v>
      </c>
      <c r="F28" s="9" t="s">
        <v>70</v>
      </c>
      <c r="G28" s="9" t="s">
        <v>33</v>
      </c>
      <c r="H28" s="22">
        <v>0</v>
      </c>
      <c r="I28" s="23">
        <v>45838</v>
      </c>
      <c r="J28" s="23"/>
      <c r="K28" s="23"/>
      <c r="L28" s="24" t="s">
        <v>35</v>
      </c>
      <c r="M28" s="18"/>
      <c r="N28" s="18"/>
      <c r="O28" s="18"/>
      <c r="P28" s="24"/>
      <c r="Q28" s="24"/>
      <c r="R28" s="24"/>
      <c r="S28" s="26" t="str">
        <f>IF(Project_Tracker[[#This Row],[Project Lead]]="", "", IFERROR(VLOOKUP(Project_Tracker[[#This Row],[Project Lead]], Setting!C:D, 2, 0), ""))</f>
        <v>dhany_indraswara@banpuindo.co.id</v>
      </c>
      <c r="T28" s="37"/>
      <c r="U28" s="37" t="str">
        <f>Project_Tracker[[#This Row],[Project Lead]]&amp;", "&amp;Project_Tracker[[#This Row],[Team Collaboration]]</f>
        <v>DHI, ALR</v>
      </c>
      <c r="V28" s="37"/>
      <c r="W28" s="37"/>
      <c r="X28" s="21"/>
      <c r="Y28" s="10"/>
      <c r="Z28" s="10"/>
      <c r="AC28" s="10">
        <v>2025</v>
      </c>
    </row>
    <row r="29" spans="1:29" ht="30.6" x14ac:dyDescent="0.3">
      <c r="A29" s="17">
        <v>31</v>
      </c>
      <c r="B29" s="18" t="s">
        <v>29</v>
      </c>
      <c r="C29" s="35" t="s">
        <v>103</v>
      </c>
      <c r="D29" s="52" t="s">
        <v>141</v>
      </c>
      <c r="E29" s="34" t="s">
        <v>142</v>
      </c>
      <c r="F29" s="9" t="s">
        <v>41</v>
      </c>
      <c r="G29" s="9" t="s">
        <v>33</v>
      </c>
      <c r="H29" s="22">
        <v>0.1</v>
      </c>
      <c r="I29" s="40" t="s">
        <v>143</v>
      </c>
      <c r="J29" s="23"/>
      <c r="K29" s="23"/>
      <c r="L29" s="24" t="s">
        <v>35</v>
      </c>
      <c r="M29" s="50" t="s">
        <v>144</v>
      </c>
      <c r="N29" s="24"/>
      <c r="O29" s="20" t="s">
        <v>51</v>
      </c>
      <c r="P29" s="24"/>
      <c r="Q29" s="24"/>
      <c r="R29" s="24"/>
      <c r="S29" s="26" t="str">
        <f>IF(Project_Tracker[[#This Row],[Project Lead]]="", "", IFERROR(VLOOKUP(Project_Tracker[[#This Row],[Project Lead]], Setting!C:D, 2, 0), ""))</f>
        <v>ratih_putri@banpuindo.co.id</v>
      </c>
      <c r="T29" s="37"/>
      <c r="U29" s="37" t="str">
        <f>Project_Tracker[[#This Row],[Project Lead]]&amp;", "&amp;Project_Tracker[[#This Row],[Team Collaboration]]</f>
        <v>RRP, ALR</v>
      </c>
      <c r="V29" s="37"/>
      <c r="W29" s="37"/>
      <c r="X29" s="21"/>
      <c r="Y29" s="10"/>
      <c r="Z29" s="10"/>
      <c r="AC29" s="10">
        <v>2025</v>
      </c>
    </row>
    <row r="30" spans="1:29" ht="20.399999999999999" x14ac:dyDescent="0.3">
      <c r="A30" s="17">
        <v>32</v>
      </c>
      <c r="B30" s="18" t="s">
        <v>29</v>
      </c>
      <c r="C30" s="35" t="s">
        <v>103</v>
      </c>
      <c r="D30" s="51" t="s">
        <v>145</v>
      </c>
      <c r="E30" s="59" t="s">
        <v>146</v>
      </c>
      <c r="F30" s="9" t="s">
        <v>48</v>
      </c>
      <c r="G30" s="9" t="s">
        <v>147</v>
      </c>
      <c r="H30" s="22">
        <v>0.85</v>
      </c>
      <c r="I30" s="40" t="s">
        <v>43</v>
      </c>
      <c r="J30" s="23"/>
      <c r="K30" s="23"/>
      <c r="L30" s="24" t="s">
        <v>7</v>
      </c>
      <c r="M30" s="18" t="s">
        <v>148</v>
      </c>
      <c r="N30" s="21" t="s">
        <v>149</v>
      </c>
      <c r="O30" s="24"/>
      <c r="P30" s="24"/>
      <c r="Q30" s="24"/>
      <c r="R30" s="24"/>
      <c r="S30" s="26" t="str">
        <f>IF(Project_Tracker[[#This Row],[Project Lead]]="", "", IFERROR(VLOOKUP(Project_Tracker[[#This Row],[Project Lead]], Setting!C:D, 2, 0), ""))</f>
        <v>aditya_r@banpuindo.co.id</v>
      </c>
      <c r="T30" s="37"/>
      <c r="U30" s="37" t="str">
        <f>Project_Tracker[[#This Row],[Project Lead]]&amp;", "&amp;Project_Tracker[[#This Row],[Team Collaboration]]</f>
        <v>ARS, ALR, RRP, DHI</v>
      </c>
      <c r="V30" s="37"/>
      <c r="W30" s="37"/>
      <c r="X30" s="21"/>
      <c r="Y30" s="10"/>
      <c r="Z30" s="10"/>
      <c r="AC30" s="10">
        <v>2025</v>
      </c>
    </row>
    <row r="31" spans="1:29" ht="51" x14ac:dyDescent="0.3">
      <c r="A31" s="17">
        <v>32</v>
      </c>
      <c r="B31" s="18" t="s">
        <v>29</v>
      </c>
      <c r="C31" s="35" t="s">
        <v>103</v>
      </c>
      <c r="D31" s="51" t="s">
        <v>145</v>
      </c>
      <c r="E31" s="34" t="s">
        <v>150</v>
      </c>
      <c r="F31" s="9" t="s">
        <v>33</v>
      </c>
      <c r="G31" s="9" t="s">
        <v>91</v>
      </c>
      <c r="H31" s="22">
        <v>1</v>
      </c>
      <c r="I31" s="40" t="s">
        <v>43</v>
      </c>
      <c r="J31" s="23"/>
      <c r="K31" s="23"/>
      <c r="L31" s="24" t="s">
        <v>55</v>
      </c>
      <c r="M31" s="18" t="s">
        <v>151</v>
      </c>
      <c r="N31" s="18" t="s">
        <v>82</v>
      </c>
      <c r="O31" s="24"/>
      <c r="P31" s="24"/>
      <c r="Q31" s="24"/>
      <c r="R31" s="24"/>
      <c r="S31" s="26"/>
      <c r="T31" s="37"/>
      <c r="U31" s="37"/>
      <c r="V31" s="37"/>
      <c r="W31" s="37"/>
      <c r="X31" s="21"/>
      <c r="Y31" s="10"/>
      <c r="Z31" s="10"/>
      <c r="AC31" s="10">
        <v>2025</v>
      </c>
    </row>
    <row r="32" spans="1:29" ht="20.399999999999999" x14ac:dyDescent="0.3">
      <c r="A32" s="17">
        <v>33</v>
      </c>
      <c r="B32" s="18" t="s">
        <v>29</v>
      </c>
      <c r="C32" s="35" t="s">
        <v>103</v>
      </c>
      <c r="D32" s="51" t="s">
        <v>152</v>
      </c>
      <c r="E32" s="82" t="s">
        <v>153</v>
      </c>
      <c r="F32" s="42" t="s">
        <v>48</v>
      </c>
      <c r="G32" s="42"/>
      <c r="H32" s="22">
        <v>0.8</v>
      </c>
      <c r="I32" s="40" t="s">
        <v>60</v>
      </c>
      <c r="J32" s="23">
        <v>45684</v>
      </c>
      <c r="K32" s="23">
        <v>46019</v>
      </c>
      <c r="L32" s="24" t="s">
        <v>7</v>
      </c>
      <c r="M32" s="18" t="s">
        <v>154</v>
      </c>
      <c r="N32" s="21" t="s">
        <v>155</v>
      </c>
      <c r="O32" s="24"/>
      <c r="P32" s="24"/>
      <c r="Q32" s="24"/>
      <c r="R32" s="24"/>
      <c r="S32" s="46" t="str">
        <f>IF(Project_Tracker[[#This Row],[Project Lead]]="", "", IFERROR(VLOOKUP(Project_Tracker[[#This Row],[Project Lead]], Setting!C:D, 2, 0), ""))</f>
        <v>aditya_r@banpuindo.co.id</v>
      </c>
      <c r="T32" s="47"/>
      <c r="U32" s="37" t="str">
        <f>Project_Tracker[[#This Row],[Project Lead]]&amp;", "&amp;Project_Tracker[[#This Row],[Team Collaboration]]</f>
        <v xml:space="preserve">ARS, </v>
      </c>
      <c r="V32" s="37"/>
      <c r="W32" s="37"/>
      <c r="X32" s="56"/>
      <c r="Y32" s="10"/>
      <c r="Z32" s="10"/>
      <c r="AC32" s="10">
        <v>2025</v>
      </c>
    </row>
    <row r="33" spans="1:29" ht="30.6" x14ac:dyDescent="0.2">
      <c r="A33" s="17">
        <v>34</v>
      </c>
      <c r="B33" s="18" t="s">
        <v>29</v>
      </c>
      <c r="C33" s="35" t="s">
        <v>103</v>
      </c>
      <c r="D33" s="51" t="s">
        <v>156</v>
      </c>
      <c r="E33" s="82" t="s">
        <v>157</v>
      </c>
      <c r="F33" s="42" t="s">
        <v>48</v>
      </c>
      <c r="G33" s="42"/>
      <c r="H33" s="22">
        <v>1</v>
      </c>
      <c r="I33" s="40" t="s">
        <v>60</v>
      </c>
      <c r="J33" s="23">
        <v>45663</v>
      </c>
      <c r="K33" s="23">
        <v>45743</v>
      </c>
      <c r="L33" s="24" t="s">
        <v>55</v>
      </c>
      <c r="M33" s="87" t="s">
        <v>158</v>
      </c>
      <c r="N33" s="24"/>
      <c r="O33" s="24"/>
      <c r="P33" s="24"/>
      <c r="Q33" s="24"/>
      <c r="R33" s="24"/>
      <c r="S33" s="46" t="str">
        <f>IF(Project_Tracker[[#This Row],[Project Lead]]="", "", IFERROR(VLOOKUP(Project_Tracker[[#This Row],[Project Lead]], Setting!C:D, 2, 0), ""))</f>
        <v>aditya_r@banpuindo.co.id</v>
      </c>
      <c r="T33" s="47"/>
      <c r="U33" s="37" t="str">
        <f>Project_Tracker[[#This Row],[Project Lead]]&amp;", "&amp;Project_Tracker[[#This Row],[Team Collaboration]]</f>
        <v xml:space="preserve">ARS, </v>
      </c>
      <c r="V33" s="37"/>
      <c r="W33" s="37"/>
      <c r="X33" s="56"/>
      <c r="Y33" s="10"/>
      <c r="Z33" s="10"/>
      <c r="AC33" s="10">
        <v>2025</v>
      </c>
    </row>
    <row r="34" spans="1:29" ht="20.399999999999999" x14ac:dyDescent="0.2">
      <c r="A34" s="17">
        <v>35</v>
      </c>
      <c r="B34" s="18" t="s">
        <v>29</v>
      </c>
      <c r="C34" s="35" t="s">
        <v>103</v>
      </c>
      <c r="D34" s="51" t="s">
        <v>159</v>
      </c>
      <c r="E34" s="103" t="s">
        <v>160</v>
      </c>
      <c r="F34" s="42" t="s">
        <v>48</v>
      </c>
      <c r="G34" s="42"/>
      <c r="H34" s="22">
        <v>0</v>
      </c>
      <c r="I34" s="40" t="s">
        <v>60</v>
      </c>
      <c r="J34" s="23"/>
      <c r="K34" s="23"/>
      <c r="L34" s="24" t="s">
        <v>44</v>
      </c>
      <c r="M34" s="88"/>
      <c r="N34" s="24"/>
      <c r="O34" s="24"/>
      <c r="P34" s="24"/>
      <c r="Q34" s="24"/>
      <c r="R34" s="24"/>
      <c r="S34" s="46" t="str">
        <f>IF(Project_Tracker[[#This Row],[Project Lead]]="", "", IFERROR(VLOOKUP(Project_Tracker[[#This Row],[Project Lead]], Setting!C:D, 2, 0), ""))</f>
        <v>aditya_r@banpuindo.co.id</v>
      </c>
      <c r="T34" s="47"/>
      <c r="U34" s="37" t="str">
        <f>Project_Tracker[[#This Row],[Project Lead]]&amp;", "&amp;Project_Tracker[[#This Row],[Team Collaboration]]</f>
        <v xml:space="preserve">ARS, </v>
      </c>
      <c r="V34" s="37"/>
      <c r="W34" s="37"/>
      <c r="X34" s="56"/>
      <c r="Y34" s="10"/>
      <c r="Z34" s="10"/>
      <c r="AC34" s="10">
        <v>2025</v>
      </c>
    </row>
    <row r="35" spans="1:29" ht="20.399999999999999" x14ac:dyDescent="0.3">
      <c r="A35" s="17">
        <v>36</v>
      </c>
      <c r="B35" s="18" t="s">
        <v>29</v>
      </c>
      <c r="C35" s="35" t="s">
        <v>161</v>
      </c>
      <c r="D35" s="51" t="s">
        <v>162</v>
      </c>
      <c r="E35" s="39" t="s">
        <v>163</v>
      </c>
      <c r="F35" s="9" t="s">
        <v>33</v>
      </c>
      <c r="G35" s="9" t="s">
        <v>164</v>
      </c>
      <c r="H35" s="22">
        <v>0</v>
      </c>
      <c r="I35" s="40" t="s">
        <v>43</v>
      </c>
      <c r="J35" s="23"/>
      <c r="K35" s="23"/>
      <c r="L35" s="24" t="s">
        <v>44</v>
      </c>
      <c r="M35" s="18"/>
      <c r="N35" s="18"/>
      <c r="O35" s="24"/>
      <c r="P35" s="24"/>
      <c r="Q35" s="24"/>
      <c r="R35" s="24"/>
      <c r="S35" s="26" t="str">
        <f>IF(Project_Tracker[[#This Row],[Project Lead]]="", "", IFERROR(VLOOKUP(Project_Tracker[[#This Row],[Project Lead]], Setting!C:D, 2, 0), ""))</f>
        <v>aldy_rienaldy@banpuindo.co.id</v>
      </c>
      <c r="T35" s="37"/>
      <c r="U35" s="37" t="str">
        <f>Project_Tracker[[#This Row],[Project Lead]]&amp;", "&amp;Project_Tracker[[#This Row],[Team Collaboration]]</f>
        <v>ALR, BEY</v>
      </c>
      <c r="V35" s="37"/>
      <c r="W35" s="37"/>
      <c r="X35" s="21"/>
      <c r="Y35" s="10"/>
      <c r="Z35" s="10"/>
      <c r="AC35" s="10">
        <v>2025</v>
      </c>
    </row>
    <row r="36" spans="1:29" ht="61.2" x14ac:dyDescent="0.3">
      <c r="A36" s="17">
        <v>37</v>
      </c>
      <c r="B36" s="18" t="s">
        <v>29</v>
      </c>
      <c r="C36" s="35" t="s">
        <v>165</v>
      </c>
      <c r="D36" s="51" t="s">
        <v>166</v>
      </c>
      <c r="E36" s="41" t="s">
        <v>167</v>
      </c>
      <c r="F36" s="9" t="s">
        <v>33</v>
      </c>
      <c r="G36" s="9" t="s">
        <v>168</v>
      </c>
      <c r="H36" s="22">
        <v>1</v>
      </c>
      <c r="I36" s="40" t="s">
        <v>43</v>
      </c>
      <c r="J36" s="23"/>
      <c r="K36" s="23"/>
      <c r="L36" s="24" t="s">
        <v>55</v>
      </c>
      <c r="M36" s="18" t="s">
        <v>169</v>
      </c>
      <c r="N36" s="60" t="s">
        <v>170</v>
      </c>
      <c r="O36" s="24"/>
      <c r="P36" s="24"/>
      <c r="Q36" s="24"/>
      <c r="R36" s="24"/>
      <c r="S36" s="26" t="str">
        <f>IF(Project_Tracker[[#This Row],[Project Lead]]="", "", IFERROR(VLOOKUP(Project_Tracker[[#This Row],[Project Lead]], Setting!C:D, 2, 0), ""))</f>
        <v>aldy_rienaldy@banpuindo.co.id</v>
      </c>
      <c r="T36" s="37"/>
      <c r="U36" s="37" t="str">
        <f>Project_Tracker[[#This Row],[Project Lead]]&amp;", "&amp;Project_Tracker[[#This Row],[Team Collaboration]]</f>
        <v>ALR, AFZ</v>
      </c>
      <c r="V36" s="37"/>
      <c r="W36" s="37"/>
      <c r="X36" s="21"/>
      <c r="Y36" s="10"/>
      <c r="Z36" s="10"/>
      <c r="AC36" s="10">
        <v>2025</v>
      </c>
    </row>
    <row r="37" spans="1:29" ht="20.399999999999999" x14ac:dyDescent="0.3">
      <c r="A37" s="17">
        <v>38</v>
      </c>
      <c r="B37" s="18" t="s">
        <v>29</v>
      </c>
      <c r="C37" s="35" t="s">
        <v>161</v>
      </c>
      <c r="D37" s="51" t="s">
        <v>171</v>
      </c>
      <c r="E37" s="102" t="s">
        <v>172</v>
      </c>
      <c r="F37" s="9" t="s">
        <v>48</v>
      </c>
      <c r="G37" s="9" t="s">
        <v>173</v>
      </c>
      <c r="H37" s="22">
        <v>0.9</v>
      </c>
      <c r="I37" s="23">
        <v>45925</v>
      </c>
      <c r="J37" s="23">
        <v>45839</v>
      </c>
      <c r="K37" s="23">
        <v>46009</v>
      </c>
      <c r="L37" s="24" t="s">
        <v>7</v>
      </c>
      <c r="M37" s="106" t="s">
        <v>174</v>
      </c>
      <c r="N37" s="101" t="s">
        <v>175</v>
      </c>
      <c r="O37" s="24"/>
      <c r="P37" s="24"/>
      <c r="Q37" s="24"/>
      <c r="R37" s="24"/>
      <c r="S37" s="26" t="str">
        <f>IF(Project_Tracker[[#This Row],[Project Lead]]="", "", IFERROR(VLOOKUP(Project_Tracker[[#This Row],[Project Lead]], Setting!C:D, 2, 0), ""))</f>
        <v>aditya_r@banpuindo.co.id</v>
      </c>
      <c r="T37" s="37"/>
      <c r="U37" s="37" t="str">
        <f>Project_Tracker[[#This Row],[Project Lead]]&amp;", "&amp;Project_Tracker[[#This Row],[Team Collaboration]]</f>
        <v>ARS, ALR, RSW</v>
      </c>
      <c r="V37" s="37"/>
      <c r="W37" s="37"/>
      <c r="X37" s="21"/>
      <c r="Y37" s="10"/>
      <c r="Z37" s="10"/>
      <c r="AC37" s="10">
        <v>2025</v>
      </c>
    </row>
    <row r="38" spans="1:29" ht="112.2" x14ac:dyDescent="0.3">
      <c r="A38" s="17">
        <v>40</v>
      </c>
      <c r="B38" s="18" t="s">
        <v>29</v>
      </c>
      <c r="C38" s="35" t="s">
        <v>161</v>
      </c>
      <c r="D38" s="51" t="s">
        <v>176</v>
      </c>
      <c r="E38" s="41" t="s">
        <v>177</v>
      </c>
      <c r="F38" s="9" t="s">
        <v>70</v>
      </c>
      <c r="G38" s="9" t="s">
        <v>168</v>
      </c>
      <c r="H38" s="22">
        <v>1</v>
      </c>
      <c r="I38" s="23">
        <v>45838</v>
      </c>
      <c r="J38" s="23">
        <v>45720</v>
      </c>
      <c r="K38" s="23">
        <v>45808</v>
      </c>
      <c r="L38" s="24" t="s">
        <v>55</v>
      </c>
      <c r="M38" s="50" t="s">
        <v>178</v>
      </c>
      <c r="N38" s="50" t="s">
        <v>179</v>
      </c>
      <c r="O38" s="18"/>
      <c r="P38" s="24"/>
      <c r="Q38" s="24"/>
      <c r="R38" s="24"/>
      <c r="S38" s="26" t="str">
        <f>IF(Project_Tracker[[#This Row],[Project Lead]]="", "", IFERROR(VLOOKUP(Project_Tracker[[#This Row],[Project Lead]], Setting!C:D, 2, 0), ""))</f>
        <v>dhany_indraswara@banpuindo.co.id</v>
      </c>
      <c r="T38" s="37"/>
      <c r="U38" s="37" t="str">
        <f>Project_Tracker[[#This Row],[Project Lead]]&amp;", "&amp;Project_Tracker[[#This Row],[Team Collaboration]]</f>
        <v>DHI, AFZ</v>
      </c>
      <c r="V38" s="37"/>
      <c r="W38" s="37"/>
      <c r="X38" s="21"/>
      <c r="Y38" s="10"/>
      <c r="Z38" s="10"/>
      <c r="AC38" s="10">
        <v>2025</v>
      </c>
    </row>
    <row r="39" spans="1:29" ht="149.4" customHeight="1" x14ac:dyDescent="0.3">
      <c r="A39" s="17"/>
      <c r="B39" s="18" t="s">
        <v>29</v>
      </c>
      <c r="C39" s="35" t="s">
        <v>161</v>
      </c>
      <c r="D39" s="51" t="s">
        <v>180</v>
      </c>
      <c r="E39" s="41" t="s">
        <v>181</v>
      </c>
      <c r="F39" s="9" t="s">
        <v>70</v>
      </c>
      <c r="G39" s="9" t="s">
        <v>168</v>
      </c>
      <c r="H39" s="22">
        <v>1</v>
      </c>
      <c r="I39" s="23">
        <v>45869</v>
      </c>
      <c r="J39" s="23">
        <v>45782</v>
      </c>
      <c r="K39" s="23">
        <v>45808</v>
      </c>
      <c r="L39" s="24" t="s">
        <v>55</v>
      </c>
      <c r="M39" s="50" t="s">
        <v>182</v>
      </c>
      <c r="N39" s="50" t="s">
        <v>183</v>
      </c>
      <c r="O39" s="18"/>
      <c r="P39" s="24"/>
      <c r="Q39" s="24"/>
      <c r="R39" s="24"/>
      <c r="S39" s="46" t="str">
        <f>IF(Project_Tracker[[#This Row],[Project Lead]]="", "", IFERROR(VLOOKUP(Project_Tracker[[#This Row],[Project Lead]], Setting!C:D, 2, 0), ""))</f>
        <v>dhany_indraswara@banpuindo.co.id</v>
      </c>
      <c r="T39" s="47"/>
      <c r="U39" s="37" t="str">
        <f>Project_Tracker[[#This Row],[Project Lead]]&amp;", "&amp;Project_Tracker[[#This Row],[Team Collaboration]]</f>
        <v>DHI, AFZ</v>
      </c>
      <c r="V39" s="37"/>
      <c r="W39" s="37"/>
      <c r="X39" s="56"/>
      <c r="Y39" s="10"/>
      <c r="Z39" s="10"/>
      <c r="AC39" s="10">
        <v>2025</v>
      </c>
    </row>
    <row r="40" spans="1:29" ht="81.599999999999994" x14ac:dyDescent="0.3">
      <c r="A40" s="17"/>
      <c r="B40" s="18" t="s">
        <v>29</v>
      </c>
      <c r="C40" s="35" t="s">
        <v>161</v>
      </c>
      <c r="D40" s="51" t="s">
        <v>184</v>
      </c>
      <c r="E40" s="41" t="s">
        <v>185</v>
      </c>
      <c r="F40" s="9" t="s">
        <v>70</v>
      </c>
      <c r="G40" s="9" t="s">
        <v>168</v>
      </c>
      <c r="H40" s="22">
        <v>1</v>
      </c>
      <c r="I40" s="23">
        <v>45991</v>
      </c>
      <c r="J40" s="23">
        <v>45782</v>
      </c>
      <c r="K40" s="23">
        <v>45808</v>
      </c>
      <c r="L40" s="24" t="s">
        <v>55</v>
      </c>
      <c r="M40" s="89" t="s">
        <v>186</v>
      </c>
      <c r="N40" s="50" t="s">
        <v>187</v>
      </c>
      <c r="O40" s="18"/>
      <c r="P40" s="24"/>
      <c r="Q40" s="24"/>
      <c r="R40" s="24"/>
      <c r="S40" s="46" t="str">
        <f>IF(Project_Tracker[[#This Row],[Project Lead]]="", "", IFERROR(VLOOKUP(Project_Tracker[[#This Row],[Project Lead]], Setting!C:D, 2, 0), ""))</f>
        <v>dhany_indraswara@banpuindo.co.id</v>
      </c>
      <c r="T40" s="47"/>
      <c r="U40" s="37" t="str">
        <f>Project_Tracker[[#This Row],[Project Lead]]&amp;", "&amp;Project_Tracker[[#This Row],[Team Collaboration]]</f>
        <v>DHI, AFZ</v>
      </c>
      <c r="V40" s="37"/>
      <c r="W40" s="37"/>
      <c r="X40" s="56"/>
      <c r="Y40" s="10"/>
      <c r="Z40" s="10"/>
      <c r="AC40" s="10">
        <v>2025</v>
      </c>
    </row>
    <row r="41" spans="1:29" ht="77.25" customHeight="1" x14ac:dyDescent="0.3">
      <c r="A41" s="17"/>
      <c r="B41" s="18" t="s">
        <v>29</v>
      </c>
      <c r="C41" s="35" t="s">
        <v>161</v>
      </c>
      <c r="D41" s="51" t="s">
        <v>188</v>
      </c>
      <c r="E41" s="41" t="s">
        <v>189</v>
      </c>
      <c r="F41" s="9" t="s">
        <v>70</v>
      </c>
      <c r="G41" s="9" t="s">
        <v>48</v>
      </c>
      <c r="H41" s="22">
        <v>1</v>
      </c>
      <c r="I41" s="23"/>
      <c r="J41" s="23">
        <v>45782</v>
      </c>
      <c r="K41" s="23">
        <v>46022</v>
      </c>
      <c r="L41" s="24" t="s">
        <v>55</v>
      </c>
      <c r="M41" s="50" t="s">
        <v>190</v>
      </c>
      <c r="N41" s="50" t="s">
        <v>191</v>
      </c>
      <c r="O41" s="24"/>
      <c r="P41" s="24"/>
      <c r="Q41" s="24"/>
      <c r="R41" s="24"/>
      <c r="S41" s="46" t="str">
        <f>IF(Project_Tracker[[#This Row],[Project Lead]]="", "", IFERROR(VLOOKUP(Project_Tracker[[#This Row],[Project Lead]], Setting!C:D, 2, 0), ""))</f>
        <v>dhany_indraswara@banpuindo.co.id</v>
      </c>
      <c r="T41" s="47"/>
      <c r="U41" s="37" t="str">
        <f>Project_Tracker[[#This Row],[Project Lead]]&amp;", "&amp;Project_Tracker[[#This Row],[Team Collaboration]]</f>
        <v>DHI, ARS</v>
      </c>
      <c r="V41" s="37"/>
      <c r="W41" s="37"/>
      <c r="X41" s="56"/>
      <c r="Y41" s="10"/>
      <c r="Z41" s="10"/>
      <c r="AC41" s="10">
        <v>2025</v>
      </c>
    </row>
    <row r="42" spans="1:29" ht="112.2" x14ac:dyDescent="0.3">
      <c r="A42" s="17">
        <v>41</v>
      </c>
      <c r="B42" s="18" t="s">
        <v>29</v>
      </c>
      <c r="C42" s="41" t="s">
        <v>192</v>
      </c>
      <c r="D42" s="53" t="s">
        <v>193</v>
      </c>
      <c r="E42" s="35" t="s">
        <v>194</v>
      </c>
      <c r="F42" s="9" t="s">
        <v>41</v>
      </c>
      <c r="G42" s="9" t="s">
        <v>195</v>
      </c>
      <c r="H42" s="22">
        <v>1</v>
      </c>
      <c r="I42" s="40" t="s">
        <v>50</v>
      </c>
      <c r="J42" s="23"/>
      <c r="K42" s="23"/>
      <c r="L42" s="24" t="s">
        <v>55</v>
      </c>
      <c r="M42" s="18" t="s">
        <v>196</v>
      </c>
      <c r="N42" s="18" t="s">
        <v>197</v>
      </c>
      <c r="O42" s="20"/>
      <c r="P42" s="24"/>
      <c r="Q42" s="24"/>
      <c r="R42" s="24"/>
      <c r="S42" s="26" t="str">
        <f>IF(Project_Tracker[[#This Row],[Project Lead]]="", "", IFERROR(VLOOKUP(Project_Tracker[[#This Row],[Project Lead]], Setting!C:D, 2, 0), ""))</f>
        <v>ratih_putri@banpuindo.co.id</v>
      </c>
      <c r="T42" s="37"/>
      <c r="U42" s="37" t="str">
        <f>Project_Tracker[[#This Row],[Project Lead]]&amp;", "&amp;Project_Tracker[[#This Row],[Team Collaboration]]</f>
        <v>RRP, ALR, AFZ</v>
      </c>
      <c r="V42" s="37"/>
      <c r="W42" s="37"/>
      <c r="X42" s="21"/>
      <c r="Y42" s="10"/>
      <c r="Z42" s="10"/>
      <c r="AC42" s="10">
        <v>2025</v>
      </c>
    </row>
    <row r="43" spans="1:29" ht="253.5" customHeight="1" x14ac:dyDescent="0.3">
      <c r="A43" s="17">
        <v>41</v>
      </c>
      <c r="B43" s="18" t="s">
        <v>29</v>
      </c>
      <c r="C43" s="41" t="s">
        <v>192</v>
      </c>
      <c r="D43" s="53" t="s">
        <v>193</v>
      </c>
      <c r="E43" s="35" t="s">
        <v>198</v>
      </c>
      <c r="F43" s="9" t="s">
        <v>41</v>
      </c>
      <c r="G43" s="9" t="s">
        <v>195</v>
      </c>
      <c r="H43" s="22">
        <v>0.95</v>
      </c>
      <c r="I43" s="40" t="s">
        <v>50</v>
      </c>
      <c r="J43" s="23"/>
      <c r="K43" s="23"/>
      <c r="L43" s="24" t="s">
        <v>7</v>
      </c>
      <c r="M43" s="18" t="s">
        <v>199</v>
      </c>
      <c r="N43" s="104" t="s">
        <v>200</v>
      </c>
      <c r="O43" s="20"/>
      <c r="P43" s="24"/>
      <c r="Q43" s="24"/>
      <c r="R43" s="24"/>
      <c r="S43" s="26" t="str">
        <f>IF(Project_Tracker[[#This Row],[Project Lead]]="", "", IFERROR(VLOOKUP(Project_Tracker[[#This Row],[Project Lead]], Setting!C:D, 2, 0), ""))</f>
        <v>ratih_putri@banpuindo.co.id</v>
      </c>
      <c r="T43" s="37"/>
      <c r="U43" s="37"/>
      <c r="V43" s="37"/>
      <c r="W43" s="37"/>
      <c r="X43" s="21"/>
      <c r="Y43" s="10"/>
      <c r="Z43" s="10"/>
      <c r="AC43" s="10">
        <v>2025</v>
      </c>
    </row>
    <row r="44" spans="1:29" ht="61.2" x14ac:dyDescent="0.3">
      <c r="A44" s="17">
        <v>41</v>
      </c>
      <c r="B44" s="18" t="s">
        <v>29</v>
      </c>
      <c r="C44" s="41" t="s">
        <v>192</v>
      </c>
      <c r="D44" s="53" t="s">
        <v>193</v>
      </c>
      <c r="E44" s="35" t="s">
        <v>201</v>
      </c>
      <c r="F44" s="9" t="s">
        <v>41</v>
      </c>
      <c r="G44" s="9" t="s">
        <v>195</v>
      </c>
      <c r="H44" s="22">
        <v>0.5</v>
      </c>
      <c r="I44" s="40" t="s">
        <v>50</v>
      </c>
      <c r="J44" s="23"/>
      <c r="K44" s="23"/>
      <c r="L44" s="24" t="s">
        <v>7</v>
      </c>
      <c r="M44" s="18" t="s">
        <v>202</v>
      </c>
      <c r="N44" s="20" t="s">
        <v>203</v>
      </c>
      <c r="O44" s="20" t="s">
        <v>204</v>
      </c>
      <c r="P44" s="24"/>
      <c r="Q44" s="24"/>
      <c r="R44" s="24"/>
      <c r="S44" s="26"/>
      <c r="T44" s="37"/>
      <c r="U44" s="37"/>
      <c r="V44" s="37"/>
      <c r="W44" s="37"/>
      <c r="X44" s="21"/>
      <c r="Y44" s="10"/>
      <c r="Z44" s="10"/>
      <c r="AC44" s="10">
        <v>2025</v>
      </c>
    </row>
    <row r="45" spans="1:29" ht="153" x14ac:dyDescent="0.3">
      <c r="A45" s="17">
        <v>42</v>
      </c>
      <c r="B45" s="18" t="s">
        <v>29</v>
      </c>
      <c r="C45" s="41" t="s">
        <v>192</v>
      </c>
      <c r="D45" s="53" t="s">
        <v>205</v>
      </c>
      <c r="E45" s="35" t="s">
        <v>206</v>
      </c>
      <c r="F45" s="9" t="s">
        <v>70</v>
      </c>
      <c r="G45" s="9" t="s">
        <v>33</v>
      </c>
      <c r="H45" s="22">
        <v>1</v>
      </c>
      <c r="I45" s="23">
        <v>46001</v>
      </c>
      <c r="J45" s="23">
        <v>45670</v>
      </c>
      <c r="K45" s="23">
        <v>45747</v>
      </c>
      <c r="L45" s="24" t="s">
        <v>55</v>
      </c>
      <c r="M45" s="50" t="s">
        <v>207</v>
      </c>
      <c r="N45" s="89" t="s">
        <v>208</v>
      </c>
      <c r="O45" s="18"/>
      <c r="P45" s="24"/>
      <c r="Q45" s="24"/>
      <c r="R45" s="24"/>
      <c r="S45" s="26" t="str">
        <f>IF(Project_Tracker[[#This Row],[Project Lead]]="", "", IFERROR(VLOOKUP(Project_Tracker[[#This Row],[Project Lead]], Setting!C:D, 2, 0), ""))</f>
        <v>dhany_indraswara@banpuindo.co.id</v>
      </c>
      <c r="T45" s="37"/>
      <c r="U45" s="37" t="str">
        <f>Project_Tracker[[#This Row],[Project Lead]]&amp;", "&amp;Project_Tracker[[#This Row],[Team Collaboration]]</f>
        <v>DHI, ALR</v>
      </c>
      <c r="V45" s="37"/>
      <c r="W45" s="37"/>
      <c r="X45" s="21"/>
      <c r="Y45" s="10"/>
      <c r="Z45" s="10"/>
      <c r="AC45" s="10">
        <v>2025</v>
      </c>
    </row>
    <row r="46" spans="1:29" ht="10.199999999999999" x14ac:dyDescent="0.3">
      <c r="A46" s="17">
        <v>43</v>
      </c>
      <c r="B46" s="18" t="s">
        <v>29</v>
      </c>
      <c r="C46" s="41" t="s">
        <v>192</v>
      </c>
      <c r="D46" s="53" t="s">
        <v>209</v>
      </c>
      <c r="E46" s="35" t="s">
        <v>210</v>
      </c>
      <c r="F46" s="9" t="s">
        <v>48</v>
      </c>
      <c r="G46" s="9" t="s">
        <v>211</v>
      </c>
      <c r="H46" s="22">
        <v>0.3</v>
      </c>
      <c r="I46" s="40" t="s">
        <v>43</v>
      </c>
      <c r="J46" s="23">
        <v>45777</v>
      </c>
      <c r="K46" s="23">
        <v>46022</v>
      </c>
      <c r="L46" s="24" t="s">
        <v>7</v>
      </c>
      <c r="M46" s="18" t="s">
        <v>212</v>
      </c>
      <c r="N46" s="18" t="s">
        <v>213</v>
      </c>
      <c r="O46" s="24"/>
      <c r="P46" s="24"/>
      <c r="Q46" s="24"/>
      <c r="R46" s="24"/>
      <c r="S46" s="26" t="str">
        <f>IF(Project_Tracker[[#This Row],[Project Lead]]="", "", IFERROR(VLOOKUP(Project_Tracker[[#This Row],[Project Lead]], Setting!C:D, 2, 0), ""))</f>
        <v>aditya_r@banpuindo.co.id</v>
      </c>
      <c r="T46" s="37"/>
      <c r="U46" s="37" t="str">
        <f>Project_Tracker[[#This Row],[Project Lead]]&amp;", "&amp;Project_Tracker[[#This Row],[Team Collaboration]]</f>
        <v>ARS, DHI, ALR</v>
      </c>
      <c r="V46" s="37"/>
      <c r="W46" s="37"/>
      <c r="X46" s="21"/>
      <c r="Y46" s="10"/>
      <c r="Z46" s="10"/>
      <c r="AC46" s="10">
        <v>2025</v>
      </c>
    </row>
    <row r="47" spans="1:29" ht="51" x14ac:dyDescent="0.3">
      <c r="A47" s="17">
        <v>44</v>
      </c>
      <c r="B47" s="18" t="s">
        <v>29</v>
      </c>
      <c r="C47" s="41" t="s">
        <v>192</v>
      </c>
      <c r="D47" s="54" t="s">
        <v>214</v>
      </c>
      <c r="E47" s="64" t="s">
        <v>215</v>
      </c>
      <c r="F47" s="42" t="s">
        <v>70</v>
      </c>
      <c r="G47" s="42" t="s">
        <v>85</v>
      </c>
      <c r="H47" s="22">
        <v>1</v>
      </c>
      <c r="I47" s="23">
        <v>45678</v>
      </c>
      <c r="J47" s="23">
        <v>45670</v>
      </c>
      <c r="K47" s="23">
        <v>45678</v>
      </c>
      <c r="L47" s="24" t="s">
        <v>55</v>
      </c>
      <c r="M47" s="50" t="s">
        <v>216</v>
      </c>
      <c r="N47" s="18" t="s">
        <v>217</v>
      </c>
      <c r="O47" s="18" t="s">
        <v>38</v>
      </c>
      <c r="P47" s="24"/>
      <c r="Q47" s="24"/>
      <c r="R47" s="24"/>
      <c r="S47" s="46" t="str">
        <f>IF(Project_Tracker[[#This Row],[Project Lead]]="", "", IFERROR(VLOOKUP(Project_Tracker[[#This Row],[Project Lead]], Setting!C:D, 2, 0), ""))</f>
        <v>dhany_indraswara@banpuindo.co.id</v>
      </c>
      <c r="T47" s="47"/>
      <c r="U47" s="47" t="str">
        <f>Project_Tracker[[#This Row],[Project Lead]]&amp;", "&amp;Project_Tracker[[#This Row],[Team Collaboration]]</f>
        <v>DHI, ASN</v>
      </c>
      <c r="V47" s="47"/>
      <c r="W47" s="47"/>
      <c r="X47" s="26"/>
      <c r="Y47" s="10"/>
      <c r="Z47" s="10"/>
      <c r="AC47" s="10">
        <v>2025</v>
      </c>
    </row>
    <row r="48" spans="1:29" ht="80.25" customHeight="1" x14ac:dyDescent="0.3">
      <c r="A48" s="17">
        <v>45</v>
      </c>
      <c r="B48" s="18" t="s">
        <v>29</v>
      </c>
      <c r="C48" s="41" t="s">
        <v>192</v>
      </c>
      <c r="D48" s="54" t="s">
        <v>218</v>
      </c>
      <c r="E48" s="64" t="s">
        <v>219</v>
      </c>
      <c r="F48" s="42" t="s">
        <v>70</v>
      </c>
      <c r="G48" s="42" t="s">
        <v>85</v>
      </c>
      <c r="H48" s="22">
        <v>1</v>
      </c>
      <c r="I48" s="23">
        <v>45673</v>
      </c>
      <c r="J48" s="23">
        <v>45670</v>
      </c>
      <c r="K48" s="23">
        <v>45673</v>
      </c>
      <c r="L48" s="24" t="s">
        <v>55</v>
      </c>
      <c r="M48" s="50" t="s">
        <v>220</v>
      </c>
      <c r="N48" s="50" t="s">
        <v>221</v>
      </c>
      <c r="O48" s="18" t="s">
        <v>38</v>
      </c>
      <c r="P48" s="24"/>
      <c r="Q48" s="24"/>
      <c r="R48" s="24"/>
      <c r="S48" s="46" t="str">
        <f>IF(Project_Tracker[[#This Row],[Project Lead]]="", "", IFERROR(VLOOKUP(Project_Tracker[[#This Row],[Project Lead]], Setting!C:D, 2, 0), ""))</f>
        <v>dhany_indraswara@banpuindo.co.id</v>
      </c>
      <c r="T48" s="47"/>
      <c r="U48" s="47" t="str">
        <f>Project_Tracker[[#This Row],[Project Lead]]&amp;", "&amp;Project_Tracker[[#This Row],[Team Collaboration]]</f>
        <v>DHI, ASN</v>
      </c>
      <c r="V48" s="47"/>
      <c r="W48" s="47"/>
      <c r="X48" s="26"/>
      <c r="Y48" s="10"/>
      <c r="Z48" s="10"/>
      <c r="AC48" s="10">
        <v>2025</v>
      </c>
    </row>
    <row r="49" spans="1:29" ht="40.799999999999997" x14ac:dyDescent="0.3">
      <c r="A49" s="17">
        <v>46</v>
      </c>
      <c r="B49" s="18" t="s">
        <v>29</v>
      </c>
      <c r="C49" s="35" t="s">
        <v>222</v>
      </c>
      <c r="D49" s="51" t="s">
        <v>223</v>
      </c>
      <c r="E49" s="35" t="s">
        <v>224</v>
      </c>
      <c r="F49" s="9" t="s">
        <v>33</v>
      </c>
      <c r="G49" s="38" t="s">
        <v>41</v>
      </c>
      <c r="H49" s="22">
        <v>1</v>
      </c>
      <c r="I49" s="23">
        <v>45747</v>
      </c>
      <c r="J49" s="23">
        <v>45658</v>
      </c>
      <c r="K49" s="23">
        <v>45747</v>
      </c>
      <c r="L49" s="24" t="s">
        <v>55</v>
      </c>
      <c r="M49" s="18" t="s">
        <v>225</v>
      </c>
      <c r="N49" s="60" t="s">
        <v>226</v>
      </c>
      <c r="O49" s="21" t="s">
        <v>38</v>
      </c>
      <c r="P49" s="24">
        <f>Project_Tracker[[#This Row],[End Date]]-Project_Tracker[[#This Row],[Target Date]]</f>
        <v>0</v>
      </c>
      <c r="Q49" s="49"/>
      <c r="R49" s="24"/>
      <c r="S49" s="26" t="str">
        <f>IF(Project_Tracker[[#This Row],[Project Lead]]="", "", IFERROR(VLOOKUP(Project_Tracker[[#This Row],[Project Lead]], Setting!C:D, 2, 0), ""))</f>
        <v>aldy_rienaldy@banpuindo.co.id</v>
      </c>
      <c r="T49" s="37"/>
      <c r="U49" s="37" t="str">
        <f>Project_Tracker[[#This Row],[Project Lead]]&amp;", "&amp;Project_Tracker[[#This Row],[Team Collaboration]]</f>
        <v>ALR, RRP</v>
      </c>
      <c r="V49" s="37"/>
      <c r="W49" s="37"/>
      <c r="X49" s="21"/>
      <c r="Y49" s="10"/>
      <c r="Z49" s="10"/>
      <c r="AC49" s="10">
        <v>2025</v>
      </c>
    </row>
    <row r="50" spans="1:29" ht="40.799999999999997" x14ac:dyDescent="0.3">
      <c r="A50" s="17">
        <v>47</v>
      </c>
      <c r="B50" s="18" t="s">
        <v>29</v>
      </c>
      <c r="C50" s="35" t="s">
        <v>222</v>
      </c>
      <c r="D50" s="51" t="s">
        <v>227</v>
      </c>
      <c r="E50" s="35" t="s">
        <v>228</v>
      </c>
      <c r="F50" s="9" t="s">
        <v>33</v>
      </c>
      <c r="G50" s="38" t="s">
        <v>41</v>
      </c>
      <c r="H50" s="22">
        <v>1</v>
      </c>
      <c r="I50" s="23">
        <v>45914</v>
      </c>
      <c r="J50" s="23">
        <v>45719</v>
      </c>
      <c r="K50" s="23">
        <v>45914</v>
      </c>
      <c r="L50" s="24" t="s">
        <v>55</v>
      </c>
      <c r="M50" s="18" t="s">
        <v>229</v>
      </c>
      <c r="N50" s="60" t="s">
        <v>230</v>
      </c>
      <c r="O50" s="21" t="s">
        <v>38</v>
      </c>
      <c r="P50" s="24">
        <f>Project_Tracker[[#This Row],[End Date]]-Project_Tracker[[#This Row],[Target Date]]</f>
        <v>0</v>
      </c>
      <c r="Q50" s="24"/>
      <c r="R50" s="24"/>
      <c r="S50" s="26" t="str">
        <f>IF(Project_Tracker[[#This Row],[Project Lead]]="", "", IFERROR(VLOOKUP(Project_Tracker[[#This Row],[Project Lead]], Setting!C:D, 2, 0), ""))</f>
        <v>aldy_rienaldy@banpuindo.co.id</v>
      </c>
      <c r="T50" s="37"/>
      <c r="U50" s="37" t="str">
        <f>Project_Tracker[[#This Row],[Project Lead]]&amp;", "&amp;Project_Tracker[[#This Row],[Team Collaboration]]</f>
        <v>ALR, RRP</v>
      </c>
      <c r="V50" s="37"/>
      <c r="W50" s="37"/>
      <c r="X50" s="21"/>
      <c r="Y50" s="10"/>
      <c r="Z50" s="10"/>
      <c r="AC50" s="10">
        <v>2025</v>
      </c>
    </row>
    <row r="51" spans="1:29" ht="20.399999999999999" x14ac:dyDescent="0.3">
      <c r="A51" s="17">
        <v>47</v>
      </c>
      <c r="B51" s="18" t="s">
        <v>29</v>
      </c>
      <c r="C51" s="35" t="s">
        <v>222</v>
      </c>
      <c r="D51" s="51" t="s">
        <v>227</v>
      </c>
      <c r="E51" s="35" t="s">
        <v>231</v>
      </c>
      <c r="F51" s="9" t="s">
        <v>33</v>
      </c>
      <c r="G51" s="38" t="s">
        <v>41</v>
      </c>
      <c r="H51" s="22">
        <v>1</v>
      </c>
      <c r="I51" s="23">
        <v>45869</v>
      </c>
      <c r="J51" s="23">
        <v>45845</v>
      </c>
      <c r="K51" s="23">
        <v>45849</v>
      </c>
      <c r="L51" s="24" t="s">
        <v>55</v>
      </c>
      <c r="M51" s="18" t="s">
        <v>232</v>
      </c>
      <c r="N51" s="24"/>
      <c r="O51" s="21" t="s">
        <v>38</v>
      </c>
      <c r="P51" s="24"/>
      <c r="Q51" s="24"/>
      <c r="R51" s="24"/>
      <c r="S51" s="26" t="str">
        <f>IF(Project_Tracker[[#This Row],[Project Lead]]="", "", IFERROR(VLOOKUP(Project_Tracker[[#This Row],[Project Lead]], Setting!C:D, 2, 0), ""))</f>
        <v>aldy_rienaldy@banpuindo.co.id</v>
      </c>
      <c r="T51" s="37"/>
      <c r="U51" s="37" t="str">
        <f>Project_Tracker[[#This Row],[Project Lead]]&amp;", "&amp;Project_Tracker[[#This Row],[Team Collaboration]]</f>
        <v>ALR, RRP</v>
      </c>
      <c r="V51" s="37"/>
      <c r="W51" s="37"/>
      <c r="X51" s="21"/>
      <c r="Y51" s="10"/>
      <c r="Z51" s="10"/>
      <c r="AC51" s="10">
        <v>2025</v>
      </c>
    </row>
    <row r="52" spans="1:29" ht="10.199999999999999" x14ac:dyDescent="0.3">
      <c r="A52" s="17">
        <v>48</v>
      </c>
      <c r="B52" s="18" t="s">
        <v>29</v>
      </c>
      <c r="C52" s="35" t="s">
        <v>222</v>
      </c>
      <c r="D52" s="9" t="s">
        <v>233</v>
      </c>
      <c r="E52" s="43" t="s">
        <v>234</v>
      </c>
      <c r="F52" s="29" t="s">
        <v>235</v>
      </c>
      <c r="G52" s="42" t="s">
        <v>236</v>
      </c>
      <c r="H52" s="22">
        <v>0</v>
      </c>
      <c r="I52" s="23">
        <v>45989</v>
      </c>
      <c r="J52" s="23"/>
      <c r="K52" s="23"/>
      <c r="L52" s="24" t="s">
        <v>44</v>
      </c>
      <c r="M52" s="24"/>
      <c r="N52" s="24"/>
      <c r="O52" s="24"/>
      <c r="P52" s="24"/>
      <c r="Q52" s="24"/>
      <c r="R52" s="24"/>
      <c r="S52" s="26" t="str">
        <f>IF(Project_Tracker[[#This Row],[Project Lead]]="", "", IFERROR(VLOOKUP(Project_Tracker[[#This Row],[Project Lead]], Setting!C:D, 2, 0), ""))</f>
        <v/>
      </c>
      <c r="T52" s="37"/>
      <c r="U52" s="37" t="str">
        <f>Project_Tracker[[#This Row],[Project Lead]]&amp;", "&amp;Project_Tracker[[#This Row],[Team Collaboration]]</f>
        <v>ARS, ALR, RRP, DHI</v>
      </c>
      <c r="V52" s="37"/>
      <c r="W52" s="37"/>
      <c r="X52" s="21"/>
      <c r="Y52" s="10"/>
      <c r="Z52" s="10"/>
      <c r="AC52" s="10">
        <v>2025</v>
      </c>
    </row>
    <row r="53" spans="1:29" ht="20.399999999999999" x14ac:dyDescent="0.3">
      <c r="A53" s="17">
        <v>49</v>
      </c>
      <c r="B53" s="18" t="s">
        <v>29</v>
      </c>
      <c r="C53" s="35" t="s">
        <v>222</v>
      </c>
      <c r="D53" s="9" t="s">
        <v>237</v>
      </c>
      <c r="E53" s="28" t="s">
        <v>238</v>
      </c>
      <c r="F53" s="29" t="s">
        <v>33</v>
      </c>
      <c r="G53" s="42" t="s">
        <v>41</v>
      </c>
      <c r="H53" s="22">
        <v>0.3</v>
      </c>
      <c r="I53" s="23">
        <v>45989</v>
      </c>
      <c r="J53" s="23"/>
      <c r="K53" s="23"/>
      <c r="L53" s="24" t="s">
        <v>7</v>
      </c>
      <c r="M53" s="18" t="s">
        <v>239</v>
      </c>
      <c r="N53" s="60" t="s">
        <v>240</v>
      </c>
      <c r="O53" s="24"/>
      <c r="P53" s="24"/>
      <c r="Q53" s="24"/>
      <c r="R53" s="24"/>
      <c r="S53" s="26" t="str">
        <f>IF(Project_Tracker[[#This Row],[Project Lead]]="", "", IFERROR(VLOOKUP(Project_Tracker[[#This Row],[Project Lead]], Setting!C:D, 2, 0), ""))</f>
        <v>aldy_rienaldy@banpuindo.co.id</v>
      </c>
      <c r="T53" s="37"/>
      <c r="U53" s="37" t="str">
        <f>Project_Tracker[[#This Row],[Project Lead]]&amp;", "&amp;Project_Tracker[[#This Row],[Team Collaboration]]</f>
        <v>ALR, RRP</v>
      </c>
      <c r="V53" s="37"/>
      <c r="W53" s="37"/>
      <c r="X53" s="21"/>
      <c r="Y53" s="10"/>
      <c r="Z53" s="10"/>
      <c r="AC53" s="10">
        <v>2025</v>
      </c>
    </row>
    <row r="54" spans="1:29" ht="20.25" customHeight="1" x14ac:dyDescent="0.3">
      <c r="A54" s="17">
        <v>50</v>
      </c>
      <c r="B54" s="18" t="s">
        <v>29</v>
      </c>
      <c r="C54" s="35" t="s">
        <v>222</v>
      </c>
      <c r="D54" s="9" t="s">
        <v>241</v>
      </c>
      <c r="E54" s="28" t="s">
        <v>242</v>
      </c>
      <c r="F54" s="29" t="s">
        <v>85</v>
      </c>
      <c r="G54" s="29" t="s">
        <v>48</v>
      </c>
      <c r="H54" s="22">
        <v>0.9</v>
      </c>
      <c r="I54" s="40" t="s">
        <v>243</v>
      </c>
      <c r="J54" s="23"/>
      <c r="K54" s="23"/>
      <c r="L54" s="24" t="s">
        <v>7</v>
      </c>
      <c r="M54" s="24"/>
      <c r="N54" s="24"/>
      <c r="O54" s="24"/>
      <c r="P54" s="24"/>
      <c r="Q54" s="24"/>
      <c r="R54" s="24"/>
      <c r="S54" s="26" t="str">
        <f>IF(Project_Tracker[[#This Row],[Project Lead]]="", "", IFERROR(VLOOKUP(Project_Tracker[[#This Row],[Project Lead]], Setting!C:D, 2, 0), ""))</f>
        <v>andri_s@banpuindo.co.id</v>
      </c>
      <c r="T54" s="37"/>
      <c r="U54" s="37" t="str">
        <f>Project_Tracker[[#This Row],[Project Lead]]&amp;", "&amp;Project_Tracker[[#This Row],[Team Collaboration]]</f>
        <v>ASN, ARS</v>
      </c>
      <c r="V54" s="37"/>
      <c r="W54" s="37"/>
      <c r="X54" s="21"/>
      <c r="Y54" s="10"/>
      <c r="Z54" s="10"/>
      <c r="AC54" s="10">
        <v>2025</v>
      </c>
    </row>
    <row r="55" spans="1:29" ht="20.399999999999999" x14ac:dyDescent="0.3">
      <c r="A55" s="17">
        <v>51</v>
      </c>
      <c r="B55" s="18" t="s">
        <v>29</v>
      </c>
      <c r="C55" s="35" t="s">
        <v>222</v>
      </c>
      <c r="D55" s="9" t="s">
        <v>244</v>
      </c>
      <c r="E55" s="28" t="s">
        <v>245</v>
      </c>
      <c r="F55" s="29" t="s">
        <v>85</v>
      </c>
      <c r="G55" s="29" t="s">
        <v>246</v>
      </c>
      <c r="H55" s="22">
        <v>0.1</v>
      </c>
      <c r="I55" s="40" t="s">
        <v>43</v>
      </c>
      <c r="J55" s="23"/>
      <c r="K55" s="23"/>
      <c r="L55" s="24" t="s">
        <v>7</v>
      </c>
      <c r="M55" s="24"/>
      <c r="N55" s="24"/>
      <c r="O55" s="24"/>
      <c r="P55" s="24"/>
      <c r="Q55" s="24"/>
      <c r="R55" s="24"/>
      <c r="S55" s="26" t="str">
        <f>IF(Project_Tracker[[#This Row],[Project Lead]]="", "", IFERROR(VLOOKUP(Project_Tracker[[#This Row],[Project Lead]], Setting!C:D, 2, 0), ""))</f>
        <v>andri_s@banpuindo.co.id</v>
      </c>
      <c r="T55" s="37"/>
      <c r="U55" s="37" t="str">
        <f>Project_Tracker[[#This Row],[Project Lead]]&amp;", "&amp;Project_Tracker[[#This Row],[Team Collaboration]]</f>
        <v>ASN, ARS, DHI</v>
      </c>
      <c r="V55" s="37"/>
      <c r="W55" s="37"/>
      <c r="X55" s="21"/>
      <c r="Y55" s="10"/>
      <c r="Z55" s="10"/>
      <c r="AC55" s="10">
        <v>2025</v>
      </c>
    </row>
    <row r="56" spans="1:29" ht="147" customHeight="1" x14ac:dyDescent="0.3">
      <c r="A56" s="17">
        <v>52</v>
      </c>
      <c r="B56" s="18" t="s">
        <v>29</v>
      </c>
      <c r="C56" s="35" t="s">
        <v>222</v>
      </c>
      <c r="D56" s="9" t="s">
        <v>247</v>
      </c>
      <c r="E56" s="28" t="s">
        <v>248</v>
      </c>
      <c r="F56" s="29" t="s">
        <v>41</v>
      </c>
      <c r="G56" s="29" t="s">
        <v>42</v>
      </c>
      <c r="H56" s="22">
        <v>0.8</v>
      </c>
      <c r="I56" s="40" t="s">
        <v>43</v>
      </c>
      <c r="J56" s="23"/>
      <c r="K56" s="23"/>
      <c r="L56" s="24" t="s">
        <v>7</v>
      </c>
      <c r="M56" s="18" t="s">
        <v>249</v>
      </c>
      <c r="N56" s="20" t="s">
        <v>250</v>
      </c>
      <c r="O56" s="20"/>
      <c r="P56" s="24"/>
      <c r="Q56" s="24"/>
      <c r="R56" s="24"/>
      <c r="S56" s="26" t="str">
        <f>IF(Project_Tracker[[#This Row],[Project Lead]]="", "", IFERROR(VLOOKUP(Project_Tracker[[#This Row],[Project Lead]], Setting!C:D, 2, 0), ""))</f>
        <v>ratih_putri@banpuindo.co.id</v>
      </c>
      <c r="T56" s="37"/>
      <c r="U56" s="37" t="str">
        <f>Project_Tracker[[#This Row],[Project Lead]]&amp;", "&amp;Project_Tracker[[#This Row],[Team Collaboration]]</f>
        <v>RRP, ALR, DHI</v>
      </c>
      <c r="V56" s="37"/>
      <c r="W56" s="37"/>
      <c r="X56" s="21"/>
      <c r="Y56" s="10"/>
      <c r="Z56" s="10"/>
      <c r="AC56" s="10">
        <v>2025</v>
      </c>
    </row>
    <row r="57" spans="1:29" ht="71.400000000000006" x14ac:dyDescent="0.3">
      <c r="A57" s="17">
        <v>53</v>
      </c>
      <c r="B57" s="18" t="s">
        <v>29</v>
      </c>
      <c r="C57" s="35" t="s">
        <v>222</v>
      </c>
      <c r="D57" s="9" t="s">
        <v>251</v>
      </c>
      <c r="E57" s="28" t="s">
        <v>252</v>
      </c>
      <c r="F57" s="29" t="s">
        <v>33</v>
      </c>
      <c r="G57" s="29" t="s">
        <v>253</v>
      </c>
      <c r="H57" s="22">
        <v>0.7</v>
      </c>
      <c r="I57" s="23">
        <v>45930</v>
      </c>
      <c r="J57" s="23"/>
      <c r="K57" s="23"/>
      <c r="L57" s="24" t="s">
        <v>7</v>
      </c>
      <c r="M57" s="18" t="s">
        <v>254</v>
      </c>
      <c r="N57" s="18" t="s">
        <v>255</v>
      </c>
      <c r="O57" s="24"/>
      <c r="P57" s="24"/>
      <c r="Q57" s="24"/>
      <c r="R57" s="24"/>
      <c r="S57" s="26" t="str">
        <f>IF(Project_Tracker[[#This Row],[Project Lead]]="", "", IFERROR(VLOOKUP(Project_Tracker[[#This Row],[Project Lead]], Setting!C:D, 2, 0), ""))</f>
        <v>aldy_rienaldy@banpuindo.co.id</v>
      </c>
      <c r="T57" s="37"/>
      <c r="U57" s="37" t="str">
        <f>Project_Tracker[[#This Row],[Project Lead]]&amp;", "&amp;Project_Tracker[[#This Row],[Team Collaboration]]</f>
        <v>ALR, ASN, RRP, DHI</v>
      </c>
      <c r="V57" s="37"/>
      <c r="W57" s="37"/>
      <c r="X57" s="21"/>
      <c r="Y57" s="10"/>
      <c r="Z57" s="10"/>
      <c r="AC57" s="10">
        <v>2025</v>
      </c>
    </row>
    <row r="58" spans="1:29" ht="61.2" x14ac:dyDescent="0.3">
      <c r="A58" s="17"/>
      <c r="B58" s="18" t="s">
        <v>29</v>
      </c>
      <c r="C58" s="35" t="s">
        <v>222</v>
      </c>
      <c r="D58" s="9" t="s">
        <v>256</v>
      </c>
      <c r="E58" s="28" t="s">
        <v>257</v>
      </c>
      <c r="F58" s="29" t="s">
        <v>33</v>
      </c>
      <c r="G58" s="29" t="s">
        <v>70</v>
      </c>
      <c r="H58" s="22">
        <v>1</v>
      </c>
      <c r="I58" s="23">
        <v>45838</v>
      </c>
      <c r="J58" s="23">
        <v>45872</v>
      </c>
      <c r="K58" s="23">
        <v>45960</v>
      </c>
      <c r="L58" s="24" t="s">
        <v>55</v>
      </c>
      <c r="M58" s="69" t="s">
        <v>258</v>
      </c>
      <c r="N58" s="69"/>
      <c r="O58" s="21" t="s">
        <v>38</v>
      </c>
      <c r="P58" s="24"/>
      <c r="Q58" s="24"/>
      <c r="R58" s="24"/>
      <c r="S58" s="26" t="str">
        <f>IF(Project_Tracker[[#This Row],[Project Lead]]="", "", IFERROR(VLOOKUP(Project_Tracker[[#This Row],[Project Lead]], Setting!C:D, 2, 0), ""))</f>
        <v>aldy_rienaldy@banpuindo.co.id</v>
      </c>
      <c r="T58" s="37"/>
      <c r="U58" s="37" t="str">
        <f>Project_Tracker[[#This Row],[Project Lead]]&amp;", "&amp;Project_Tracker[[#This Row],[Team Collaboration]]</f>
        <v>ALR, DHI</v>
      </c>
      <c r="V58" s="37"/>
      <c r="W58" s="37"/>
      <c r="X58" s="21"/>
      <c r="Y58" s="10"/>
      <c r="Z58" s="10"/>
      <c r="AC58" s="10">
        <v>2025</v>
      </c>
    </row>
    <row r="59" spans="1:29" ht="40.799999999999997" x14ac:dyDescent="0.3">
      <c r="A59" s="17">
        <v>54</v>
      </c>
      <c r="B59" s="18" t="s">
        <v>29</v>
      </c>
      <c r="C59" s="35" t="s">
        <v>222</v>
      </c>
      <c r="D59" s="9" t="s">
        <v>259</v>
      </c>
      <c r="E59" s="28" t="s">
        <v>260</v>
      </c>
      <c r="F59" s="29" t="s">
        <v>33</v>
      </c>
      <c r="G59" s="29" t="s">
        <v>70</v>
      </c>
      <c r="H59" s="22">
        <v>0.2</v>
      </c>
      <c r="I59" s="23">
        <v>45985</v>
      </c>
      <c r="J59" s="23">
        <v>45954</v>
      </c>
      <c r="K59" s="23">
        <v>45985</v>
      </c>
      <c r="L59" s="24" t="s">
        <v>7</v>
      </c>
      <c r="M59" s="69" t="s">
        <v>261</v>
      </c>
      <c r="N59" s="69" t="s">
        <v>262</v>
      </c>
      <c r="O59" s="21" t="s">
        <v>38</v>
      </c>
      <c r="P59" s="24"/>
      <c r="Q59" s="24"/>
      <c r="R59" s="24"/>
      <c r="S59" s="26" t="str">
        <f>IF(Project_Tracker[[#This Row],[Project Lead]]="", "", IFERROR(VLOOKUP(Project_Tracker[[#This Row],[Project Lead]], Setting!C:D, 2, 0), ""))</f>
        <v>aldy_rienaldy@banpuindo.co.id</v>
      </c>
      <c r="T59" s="37"/>
      <c r="U59" s="37" t="str">
        <f>Project_Tracker[[#This Row],[Project Lead]]&amp;", "&amp;Project_Tracker[[#This Row],[Team Collaboration]]</f>
        <v>ALR, DHI</v>
      </c>
      <c r="V59" s="37"/>
      <c r="W59" s="37"/>
      <c r="X59" s="21"/>
      <c r="Y59" s="10"/>
      <c r="Z59" s="10"/>
      <c r="AC59" s="10">
        <v>2025</v>
      </c>
    </row>
    <row r="60" spans="1:29" ht="40.799999999999997" x14ac:dyDescent="0.3">
      <c r="A60" s="17">
        <v>55</v>
      </c>
      <c r="B60" s="18" t="s">
        <v>29</v>
      </c>
      <c r="C60" s="35" t="s">
        <v>222</v>
      </c>
      <c r="D60" s="9" t="s">
        <v>259</v>
      </c>
      <c r="E60" s="28" t="s">
        <v>263</v>
      </c>
      <c r="F60" s="29" t="s">
        <v>33</v>
      </c>
      <c r="G60" s="29" t="s">
        <v>41</v>
      </c>
      <c r="H60" s="22">
        <v>1</v>
      </c>
      <c r="I60" s="23">
        <v>45838</v>
      </c>
      <c r="J60" s="23">
        <v>45719</v>
      </c>
      <c r="K60" s="23">
        <v>45838</v>
      </c>
      <c r="L60" s="24" t="s">
        <v>55</v>
      </c>
      <c r="M60" s="69" t="s">
        <v>264</v>
      </c>
      <c r="N60" s="69"/>
      <c r="O60" s="21" t="s">
        <v>38</v>
      </c>
      <c r="P60" s="24">
        <f>Project_Tracker[[#This Row],[End Date]]-Project_Tracker[[#This Row],[Target Date]]</f>
        <v>0</v>
      </c>
      <c r="Q60" s="24"/>
      <c r="R60" s="24"/>
      <c r="S60" s="26" t="str">
        <f>IF(Project_Tracker[[#This Row],[Project Lead]]="", "", IFERROR(VLOOKUP(Project_Tracker[[#This Row],[Project Lead]], Setting!C:D, 2, 0), ""))</f>
        <v>aldy_rienaldy@banpuindo.co.id</v>
      </c>
      <c r="T60" s="37"/>
      <c r="U60" s="37" t="str">
        <f>Project_Tracker[[#This Row],[Project Lead]]&amp;", "&amp;Project_Tracker[[#This Row],[Team Collaboration]]</f>
        <v>ALR, RRP</v>
      </c>
      <c r="V60" s="37"/>
      <c r="W60" s="37"/>
      <c r="X60" s="21"/>
      <c r="Y60" s="10"/>
      <c r="Z60" s="10"/>
      <c r="AC60" s="10">
        <v>2025</v>
      </c>
    </row>
    <row r="61" spans="1:29" ht="13.5" customHeight="1" x14ac:dyDescent="0.3">
      <c r="A61" s="17">
        <v>56</v>
      </c>
      <c r="B61" s="18" t="s">
        <v>29</v>
      </c>
      <c r="C61" s="35" t="s">
        <v>222</v>
      </c>
      <c r="D61" s="9" t="s">
        <v>265</v>
      </c>
      <c r="E61" s="28" t="s">
        <v>266</v>
      </c>
      <c r="F61" s="29" t="s">
        <v>173</v>
      </c>
      <c r="G61" s="42" t="s">
        <v>267</v>
      </c>
      <c r="H61" s="22">
        <v>0.05</v>
      </c>
      <c r="I61" s="23">
        <v>45930</v>
      </c>
      <c r="J61" s="23"/>
      <c r="K61" s="23"/>
      <c r="L61" s="24" t="s">
        <v>7</v>
      </c>
      <c r="M61" s="21"/>
      <c r="N61" s="21"/>
      <c r="O61" s="24"/>
      <c r="P61" s="24"/>
      <c r="Q61" s="24"/>
      <c r="R61" s="24"/>
      <c r="S61" s="26" t="str">
        <f>IF(Project_Tracker[[#This Row],[Project Lead]]="", "", IFERROR(VLOOKUP(Project_Tracker[[#This Row],[Project Lead]], Setting!C:D, 2, 0), ""))</f>
        <v/>
      </c>
      <c r="T61" s="37"/>
      <c r="U61" s="37" t="str">
        <f>Project_Tracker[[#This Row],[Project Lead]]&amp;", "&amp;Project_Tracker[[#This Row],[Team Collaboration]]</f>
        <v>ALR, RSW, RRP, BEY</v>
      </c>
      <c r="V61" s="37"/>
      <c r="W61" s="37"/>
      <c r="X61" s="21"/>
      <c r="Y61" s="10"/>
      <c r="Z61" s="10"/>
      <c r="AC61" s="10">
        <v>2025</v>
      </c>
    </row>
    <row r="62" spans="1:29" ht="10.199999999999999" x14ac:dyDescent="0.3">
      <c r="A62" s="17">
        <v>57</v>
      </c>
      <c r="B62" s="18" t="s">
        <v>29</v>
      </c>
      <c r="C62" s="35" t="s">
        <v>222</v>
      </c>
      <c r="D62" s="9" t="s">
        <v>268</v>
      </c>
      <c r="E62" s="28" t="s">
        <v>269</v>
      </c>
      <c r="F62" s="29" t="s">
        <v>85</v>
      </c>
      <c r="G62" s="29" t="s">
        <v>173</v>
      </c>
      <c r="H62" s="22">
        <v>0</v>
      </c>
      <c r="I62" s="40" t="s">
        <v>243</v>
      </c>
      <c r="J62" s="23"/>
      <c r="K62" s="23"/>
      <c r="L62" s="24" t="s">
        <v>44</v>
      </c>
      <c r="M62" s="24"/>
      <c r="N62" s="24"/>
      <c r="O62" s="24"/>
      <c r="P62" s="24"/>
      <c r="Q62" s="24"/>
      <c r="R62" s="24"/>
      <c r="S62" s="26" t="str">
        <f>IF(Project_Tracker[[#This Row],[Project Lead]]="", "", IFERROR(VLOOKUP(Project_Tracker[[#This Row],[Project Lead]], Setting!C:D, 2, 0), ""))</f>
        <v>andri_s@banpuindo.co.id</v>
      </c>
      <c r="T62" s="37"/>
      <c r="U62" s="37" t="str">
        <f>Project_Tracker[[#This Row],[Project Lead]]&amp;", "&amp;Project_Tracker[[#This Row],[Team Collaboration]]</f>
        <v>ASN, ALR, RSW</v>
      </c>
      <c r="V62" s="37"/>
      <c r="W62" s="37"/>
      <c r="X62" s="21"/>
      <c r="Y62" s="10"/>
      <c r="Z62" s="10"/>
      <c r="AC62" s="10">
        <v>2025</v>
      </c>
    </row>
    <row r="63" spans="1:29" ht="10.199999999999999" x14ac:dyDescent="0.3">
      <c r="A63" s="17">
        <v>58</v>
      </c>
      <c r="B63" s="18" t="s">
        <v>29</v>
      </c>
      <c r="C63" s="35" t="s">
        <v>222</v>
      </c>
      <c r="D63" s="9" t="s">
        <v>270</v>
      </c>
      <c r="E63" s="28" t="s">
        <v>271</v>
      </c>
      <c r="F63" s="29" t="s">
        <v>173</v>
      </c>
      <c r="G63" s="42" t="s">
        <v>267</v>
      </c>
      <c r="H63" s="22">
        <v>0</v>
      </c>
      <c r="I63" s="40" t="s">
        <v>43</v>
      </c>
      <c r="J63" s="23"/>
      <c r="K63" s="23"/>
      <c r="L63" s="24" t="s">
        <v>44</v>
      </c>
      <c r="M63" s="21"/>
      <c r="N63" s="21"/>
      <c r="O63" s="24"/>
      <c r="P63" s="24"/>
      <c r="Q63" s="24"/>
      <c r="R63" s="24"/>
      <c r="S63" s="26" t="str">
        <f>IF(Project_Tracker[[#This Row],[Project Lead]]="", "", IFERROR(VLOOKUP(Project_Tracker[[#This Row],[Project Lead]], Setting!C:D, 2, 0), ""))</f>
        <v/>
      </c>
      <c r="T63" s="37"/>
      <c r="U63" s="37" t="str">
        <f>Project_Tracker[[#This Row],[Project Lead]]&amp;", "&amp;Project_Tracker[[#This Row],[Team Collaboration]]</f>
        <v>ALR, RSW, RRP, BEY</v>
      </c>
      <c r="V63" s="37"/>
      <c r="W63" s="37"/>
      <c r="X63" s="21"/>
      <c r="Y63" s="10"/>
      <c r="Z63" s="10"/>
      <c r="AC63" s="10">
        <v>2025</v>
      </c>
    </row>
    <row r="64" spans="1:29" ht="40.799999999999997" x14ac:dyDescent="0.3">
      <c r="A64" s="17"/>
      <c r="B64" s="18" t="s">
        <v>29</v>
      </c>
      <c r="C64" s="18" t="s">
        <v>272</v>
      </c>
      <c r="D64" s="55" t="s">
        <v>273</v>
      </c>
      <c r="E64" s="68" t="s">
        <v>274</v>
      </c>
      <c r="F64" s="42" t="s">
        <v>33</v>
      </c>
      <c r="G64" s="42"/>
      <c r="H64" s="22">
        <v>1</v>
      </c>
      <c r="I64" s="23">
        <v>46022</v>
      </c>
      <c r="J64" s="23">
        <v>45306</v>
      </c>
      <c r="K64" s="23">
        <v>46022</v>
      </c>
      <c r="L64" s="24" t="s">
        <v>55</v>
      </c>
      <c r="M64" s="69" t="s">
        <v>275</v>
      </c>
      <c r="N64" s="69" t="s">
        <v>276</v>
      </c>
      <c r="O64" s="21" t="s">
        <v>38</v>
      </c>
      <c r="P64" s="24">
        <f>Project_Tracker[[#This Row],[End Date]]-Project_Tracker[[#This Row],[Target Date]]</f>
        <v>0</v>
      </c>
      <c r="Q64" s="24"/>
      <c r="R64" s="24"/>
      <c r="S64" s="46" t="str">
        <f>IF(Project_Tracker[[#This Row],[Project Lead]]="", "", IFERROR(VLOOKUP(Project_Tracker[[#This Row],[Project Lead]], Setting!C:D, 2, 0), ""))</f>
        <v>aldy_rienaldy@banpuindo.co.id</v>
      </c>
      <c r="T64" s="47"/>
      <c r="U64" s="37" t="str">
        <f>Project_Tracker[[#This Row],[Project Lead]]&amp;", "&amp;Project_Tracker[[#This Row],[Team Collaboration]]</f>
        <v xml:space="preserve">ALR, </v>
      </c>
      <c r="V64" s="37"/>
      <c r="W64" s="37"/>
      <c r="X64" s="56"/>
      <c r="Y64" s="10"/>
      <c r="Z64" s="10"/>
      <c r="AC64" s="10">
        <v>2025</v>
      </c>
    </row>
    <row r="65" spans="1:29" ht="10.199999999999999" x14ac:dyDescent="0.3">
      <c r="A65" s="17"/>
      <c r="B65" s="18" t="s">
        <v>29</v>
      </c>
      <c r="C65" s="18" t="s">
        <v>272</v>
      </c>
      <c r="D65" s="55"/>
      <c r="E65" s="66" t="s">
        <v>277</v>
      </c>
      <c r="F65" s="42" t="s">
        <v>70</v>
      </c>
      <c r="G65" s="42"/>
      <c r="H65" s="22"/>
      <c r="I65" s="65"/>
      <c r="J65" s="23"/>
      <c r="K65" s="23"/>
      <c r="L65" s="116" t="s">
        <v>44</v>
      </c>
      <c r="M65" s="24"/>
      <c r="N65" s="24"/>
      <c r="O65" s="24"/>
      <c r="P65" s="24"/>
      <c r="Q65" s="24"/>
      <c r="R65" s="24"/>
      <c r="S65" s="46" t="str">
        <f>IF(Project_Tracker[[#This Row],[Project Lead]]="", "", IFERROR(VLOOKUP(Project_Tracker[[#This Row],[Project Lead]], Setting!C:D, 2, 0), ""))</f>
        <v>dhany_indraswara@banpuindo.co.id</v>
      </c>
      <c r="T65" s="47"/>
      <c r="U65" s="37" t="str">
        <f>Project_Tracker[[#This Row],[Project Lead]]&amp;", "&amp;Project_Tracker[[#This Row],[Team Collaboration]]</f>
        <v xml:space="preserve">DHI, </v>
      </c>
      <c r="V65" s="37"/>
      <c r="W65" s="37"/>
      <c r="X65" s="56"/>
      <c r="Y65" s="10"/>
      <c r="Z65" s="10"/>
      <c r="AC65" s="10">
        <v>2025</v>
      </c>
    </row>
    <row r="66" spans="1:29" ht="10.199999999999999" x14ac:dyDescent="0.3">
      <c r="A66" s="17"/>
      <c r="B66" s="18" t="s">
        <v>29</v>
      </c>
      <c r="C66" s="18" t="s">
        <v>272</v>
      </c>
      <c r="D66" s="55"/>
      <c r="E66" s="67" t="s">
        <v>278</v>
      </c>
      <c r="F66" s="42" t="s">
        <v>70</v>
      </c>
      <c r="G66" s="42"/>
      <c r="H66" s="22"/>
      <c r="I66" s="65"/>
      <c r="J66" s="23"/>
      <c r="K66" s="23"/>
      <c r="L66" s="116" t="s">
        <v>44</v>
      </c>
      <c r="M66" s="24"/>
      <c r="N66" s="24"/>
      <c r="O66" s="24"/>
      <c r="P66" s="24"/>
      <c r="Q66" s="24"/>
      <c r="R66" s="24"/>
      <c r="S66" s="46" t="str">
        <f>IF(Project_Tracker[[#This Row],[Project Lead]]="", "", IFERROR(VLOOKUP(Project_Tracker[[#This Row],[Project Lead]], Setting!C:D, 2, 0), ""))</f>
        <v>dhany_indraswara@banpuindo.co.id</v>
      </c>
      <c r="T66" s="47"/>
      <c r="U66" s="37" t="str">
        <f>Project_Tracker[[#This Row],[Project Lead]]&amp;", "&amp;Project_Tracker[[#This Row],[Team Collaboration]]</f>
        <v xml:space="preserve">DHI, </v>
      </c>
      <c r="V66" s="37"/>
      <c r="W66" s="37"/>
      <c r="X66" s="56"/>
      <c r="Y66" s="10"/>
      <c r="Z66" s="10"/>
      <c r="AC66" s="10">
        <v>2025</v>
      </c>
    </row>
    <row r="67" spans="1:29" ht="10.199999999999999" x14ac:dyDescent="0.3">
      <c r="A67" s="17"/>
      <c r="B67" s="18" t="s">
        <v>29</v>
      </c>
      <c r="C67" s="18" t="s">
        <v>272</v>
      </c>
      <c r="D67" s="55"/>
      <c r="E67" s="67" t="s">
        <v>279</v>
      </c>
      <c r="F67" s="42" t="s">
        <v>70</v>
      </c>
      <c r="G67" s="42"/>
      <c r="H67" s="22"/>
      <c r="I67" s="65"/>
      <c r="J67" s="23"/>
      <c r="K67" s="23"/>
      <c r="L67" s="116" t="s">
        <v>44</v>
      </c>
      <c r="M67" s="24"/>
      <c r="N67" s="24"/>
      <c r="O67" s="24"/>
      <c r="P67" s="24"/>
      <c r="Q67" s="24"/>
      <c r="R67" s="24"/>
      <c r="S67" s="46" t="str">
        <f>IF(Project_Tracker[[#This Row],[Project Lead]]="", "", IFERROR(VLOOKUP(Project_Tracker[[#This Row],[Project Lead]], Setting!C:D, 2, 0), ""))</f>
        <v>dhany_indraswara@banpuindo.co.id</v>
      </c>
      <c r="T67" s="47"/>
      <c r="U67" s="37" t="str">
        <f>Project_Tracker[[#This Row],[Project Lead]]&amp;", "&amp;Project_Tracker[[#This Row],[Team Collaboration]]</f>
        <v xml:space="preserve">DHI, </v>
      </c>
      <c r="V67" s="37"/>
      <c r="W67" s="37"/>
      <c r="X67" s="56"/>
      <c r="Y67" s="10"/>
      <c r="Z67" s="10"/>
      <c r="AC67" s="10">
        <v>2025</v>
      </c>
    </row>
    <row r="68" spans="1:29" ht="10.199999999999999" x14ac:dyDescent="0.3">
      <c r="A68" s="17"/>
      <c r="B68" s="18" t="s">
        <v>29</v>
      </c>
      <c r="C68" s="18" t="s">
        <v>272</v>
      </c>
      <c r="D68" s="55"/>
      <c r="E68" s="67" t="s">
        <v>280</v>
      </c>
      <c r="F68" s="42" t="s">
        <v>70</v>
      </c>
      <c r="G68" s="42"/>
      <c r="H68" s="22"/>
      <c r="I68" s="65"/>
      <c r="J68" s="23"/>
      <c r="K68" s="23"/>
      <c r="L68" s="116" t="s">
        <v>44</v>
      </c>
      <c r="M68" s="24"/>
      <c r="N68" s="24"/>
      <c r="O68" s="24"/>
      <c r="P68" s="24"/>
      <c r="Q68" s="24"/>
      <c r="R68" s="24"/>
      <c r="S68" s="46" t="str">
        <f>IF(Project_Tracker[[#This Row],[Project Lead]]="", "", IFERROR(VLOOKUP(Project_Tracker[[#This Row],[Project Lead]], Setting!C:D, 2, 0), ""))</f>
        <v>dhany_indraswara@banpuindo.co.id</v>
      </c>
      <c r="T68" s="47"/>
      <c r="U68" s="37" t="str">
        <f>Project_Tracker[[#This Row],[Project Lead]]&amp;", "&amp;Project_Tracker[[#This Row],[Team Collaboration]]</f>
        <v xml:space="preserve">DHI, </v>
      </c>
      <c r="V68" s="37"/>
      <c r="W68" s="37"/>
      <c r="X68" s="56"/>
      <c r="Y68" s="10"/>
      <c r="Z68" s="10"/>
      <c r="AC68" s="10">
        <v>2025</v>
      </c>
    </row>
    <row r="69" spans="1:29" ht="19.5" customHeight="1" x14ac:dyDescent="0.3">
      <c r="A69" s="17"/>
      <c r="B69" s="18" t="s">
        <v>29</v>
      </c>
      <c r="C69" s="18" t="s">
        <v>281</v>
      </c>
      <c r="D69" s="55"/>
      <c r="E69" s="67" t="s">
        <v>282</v>
      </c>
      <c r="F69" s="42" t="s">
        <v>70</v>
      </c>
      <c r="G69" s="42"/>
      <c r="H69" s="22"/>
      <c r="I69" s="65"/>
      <c r="J69" s="23"/>
      <c r="K69" s="23"/>
      <c r="L69" s="116" t="s">
        <v>44</v>
      </c>
      <c r="M69" s="24"/>
      <c r="N69" s="24"/>
      <c r="O69" s="24"/>
      <c r="P69" s="24"/>
      <c r="Q69" s="24"/>
      <c r="R69" s="24"/>
      <c r="S69" s="46" t="str">
        <f>IF(Project_Tracker[[#This Row],[Project Lead]]="", "", IFERROR(VLOOKUP(Project_Tracker[[#This Row],[Project Lead]], Setting!C:D, 2, 0), ""))</f>
        <v>dhany_indraswara@banpuindo.co.id</v>
      </c>
      <c r="T69" s="47"/>
      <c r="U69" s="37" t="str">
        <f>Project_Tracker[[#This Row],[Project Lead]]&amp;", "&amp;Project_Tracker[[#This Row],[Team Collaboration]]</f>
        <v xml:space="preserve">DHI, </v>
      </c>
      <c r="V69" s="37"/>
      <c r="W69" s="37"/>
      <c r="X69" s="56"/>
      <c r="Y69" s="10"/>
      <c r="Z69" s="10"/>
      <c r="AC69" s="10">
        <v>2025</v>
      </c>
    </row>
    <row r="70" spans="1:29" ht="28.5" customHeight="1" x14ac:dyDescent="0.3">
      <c r="A70" s="17"/>
      <c r="B70" s="18" t="s">
        <v>29</v>
      </c>
      <c r="C70" s="18" t="s">
        <v>272</v>
      </c>
      <c r="D70" s="55" t="s">
        <v>283</v>
      </c>
      <c r="E70" s="68" t="s">
        <v>284</v>
      </c>
      <c r="F70" s="42" t="s">
        <v>48</v>
      </c>
      <c r="G70" s="42" t="s">
        <v>285</v>
      </c>
      <c r="H70" s="22">
        <v>0.85</v>
      </c>
      <c r="I70" s="23">
        <v>46021</v>
      </c>
      <c r="J70" s="23"/>
      <c r="K70" s="23"/>
      <c r="L70" s="24" t="s">
        <v>7</v>
      </c>
      <c r="M70" s="18" t="s">
        <v>286</v>
      </c>
      <c r="N70" s="18" t="s">
        <v>287</v>
      </c>
      <c r="O70" s="21" t="s">
        <v>288</v>
      </c>
      <c r="P70" s="24"/>
      <c r="Q70" s="24"/>
      <c r="R70" s="24"/>
      <c r="S70" s="46" t="str">
        <f>IF(Project_Tracker[[#This Row],[Project Lead]]="", "", IFERROR(VLOOKUP(Project_Tracker[[#This Row],[Project Lead]], Setting!C:D, 2, 0), ""))</f>
        <v>aditya_r@banpuindo.co.id</v>
      </c>
      <c r="T70" s="47"/>
      <c r="U70" s="37" t="str">
        <f>Project_Tracker[[#This Row],[Project Lead]]&amp;", "&amp;Project_Tracker[[#This Row],[Team Collaboration]]</f>
        <v>ARS, DHY</v>
      </c>
      <c r="V70" s="37"/>
      <c r="W70" s="37"/>
      <c r="X70" s="56"/>
      <c r="Y70" s="10"/>
      <c r="Z70" s="10"/>
      <c r="AC70" s="10">
        <v>2025</v>
      </c>
    </row>
    <row r="71" spans="1:29" s="90" customFormat="1" ht="20.399999999999999" x14ac:dyDescent="0.3">
      <c r="A71" s="17"/>
      <c r="B71" s="18" t="s">
        <v>29</v>
      </c>
      <c r="C71" s="18" t="s">
        <v>272</v>
      </c>
      <c r="D71" s="55" t="s">
        <v>289</v>
      </c>
      <c r="E71" s="83" t="s">
        <v>290</v>
      </c>
      <c r="F71" s="42" t="s">
        <v>48</v>
      </c>
      <c r="G71" s="42"/>
      <c r="H71" s="22">
        <v>0.85</v>
      </c>
      <c r="I71" s="23">
        <v>46022</v>
      </c>
      <c r="J71" s="23"/>
      <c r="K71" s="23"/>
      <c r="L71" s="24" t="s">
        <v>7</v>
      </c>
      <c r="M71" s="18" t="s">
        <v>291</v>
      </c>
      <c r="N71" s="18" t="s">
        <v>292</v>
      </c>
      <c r="O71" s="21" t="s">
        <v>288</v>
      </c>
      <c r="P71" s="24"/>
      <c r="Q71" s="24"/>
      <c r="R71" s="24"/>
      <c r="S71" s="46" t="str">
        <f>IF(Project_Tracker[[#This Row],[Project Lead]]="", "", IFERROR(VLOOKUP(Project_Tracker[[#This Row],[Project Lead]], Setting!C:D, 2, 0), ""))</f>
        <v>aditya_r@banpuindo.co.id</v>
      </c>
      <c r="T71" s="47"/>
      <c r="U71" s="37" t="str">
        <f>Project_Tracker[[#This Row],[Project Lead]]&amp;", "&amp;Project_Tracker[[#This Row],[Team Collaboration]]</f>
        <v xml:space="preserve">ARS, </v>
      </c>
      <c r="V71" s="37"/>
      <c r="W71" s="37"/>
      <c r="X71" s="56"/>
      <c r="Y71" s="10"/>
      <c r="Z71" s="10"/>
      <c r="AA71" s="10"/>
      <c r="AB71" s="10"/>
      <c r="AC71" s="10">
        <v>2025</v>
      </c>
    </row>
    <row r="72" spans="1:29" ht="61.2" x14ac:dyDescent="0.3">
      <c r="A72" s="17"/>
      <c r="B72" s="18" t="s">
        <v>29</v>
      </c>
      <c r="C72" s="18" t="s">
        <v>272</v>
      </c>
      <c r="D72" s="55" t="s">
        <v>293</v>
      </c>
      <c r="E72" s="68" t="s">
        <v>294</v>
      </c>
      <c r="F72" s="42" t="s">
        <v>33</v>
      </c>
      <c r="G72" s="42"/>
      <c r="H72" s="22">
        <v>1</v>
      </c>
      <c r="I72" s="23">
        <v>46022</v>
      </c>
      <c r="J72" s="23">
        <v>45306</v>
      </c>
      <c r="K72" s="23">
        <v>46022</v>
      </c>
      <c r="L72" s="24" t="s">
        <v>55</v>
      </c>
      <c r="M72" s="69" t="s">
        <v>295</v>
      </c>
      <c r="N72" s="69" t="s">
        <v>296</v>
      </c>
      <c r="O72" s="21" t="s">
        <v>38</v>
      </c>
      <c r="P72" s="24">
        <f>Project_Tracker[[#This Row],[End Date]]-Project_Tracker[[#This Row],[Target Date]]</f>
        <v>0</v>
      </c>
      <c r="Q72" s="24"/>
      <c r="R72" s="24"/>
      <c r="S72" s="26"/>
      <c r="T72" s="27"/>
      <c r="U72" s="37"/>
      <c r="V72" s="37"/>
      <c r="W72" s="37"/>
      <c r="X72" s="56"/>
      <c r="Y72" s="10"/>
      <c r="Z72" s="10"/>
      <c r="AC72" s="10">
        <v>2025</v>
      </c>
    </row>
    <row r="73" spans="1:29" ht="10.199999999999999" x14ac:dyDescent="0.3">
      <c r="A73" s="17"/>
      <c r="B73" s="18" t="s">
        <v>29</v>
      </c>
      <c r="C73" s="18" t="s">
        <v>272</v>
      </c>
      <c r="D73" s="55" t="s">
        <v>297</v>
      </c>
      <c r="E73" s="67" t="s">
        <v>298</v>
      </c>
      <c r="F73" s="42" t="s">
        <v>48</v>
      </c>
      <c r="G73" s="42" t="s">
        <v>41</v>
      </c>
      <c r="H73" s="22">
        <v>0</v>
      </c>
      <c r="I73" s="23"/>
      <c r="J73" s="23"/>
      <c r="K73" s="23"/>
      <c r="L73" s="24" t="s">
        <v>44</v>
      </c>
      <c r="M73" s="85"/>
      <c r="N73" s="85"/>
      <c r="O73" s="24"/>
      <c r="P73" s="24"/>
      <c r="Q73" s="24"/>
      <c r="R73" s="24"/>
      <c r="S73" s="46" t="str">
        <f>IF(Project_Tracker[[#This Row],[Project Lead]]="", "", IFERROR(VLOOKUP(Project_Tracker[[#This Row],[Project Lead]], Setting!C:D, 2, 0), ""))</f>
        <v>aditya_r@banpuindo.co.id</v>
      </c>
      <c r="T73" s="47"/>
      <c r="U73" s="37" t="str">
        <f>Project_Tracker[[#This Row],[Project Lead]]&amp;", "&amp;Project_Tracker[[#This Row],[Team Collaboration]]</f>
        <v>ARS, RRP</v>
      </c>
      <c r="V73" s="37"/>
      <c r="W73" s="37"/>
      <c r="X73" s="56"/>
      <c r="Y73" s="10"/>
      <c r="Z73" s="10"/>
      <c r="AC73" s="10">
        <v>2025</v>
      </c>
    </row>
    <row r="74" spans="1:29" ht="10.199999999999999" x14ac:dyDescent="0.3">
      <c r="A74" s="17"/>
      <c r="B74" s="91" t="s">
        <v>29</v>
      </c>
      <c r="C74" s="92" t="s">
        <v>281</v>
      </c>
      <c r="D74" s="93" t="s">
        <v>299</v>
      </c>
      <c r="E74" s="67" t="s">
        <v>300</v>
      </c>
      <c r="F74" s="94" t="s">
        <v>85</v>
      </c>
      <c r="G74" s="94" t="s">
        <v>246</v>
      </c>
      <c r="H74" s="22">
        <v>0.5</v>
      </c>
      <c r="I74" s="23">
        <v>45835</v>
      </c>
      <c r="J74" s="23">
        <v>45813</v>
      </c>
      <c r="K74" s="23"/>
      <c r="L74" s="24" t="s">
        <v>44</v>
      </c>
      <c r="M74" s="85"/>
      <c r="N74" s="85"/>
      <c r="O74" s="24"/>
      <c r="P74" s="24"/>
      <c r="Q74" s="24"/>
      <c r="R74" s="24"/>
      <c r="S74" s="46" t="str">
        <f>IF(Project_Tracker[[#This Row],[Project Lead]]="", "", IFERROR(VLOOKUP(Project_Tracker[[#This Row],[Project Lead]], Setting!C:D, 2, 0), ""))</f>
        <v>andri_s@banpuindo.co.id</v>
      </c>
      <c r="T74" s="47"/>
      <c r="U74" s="37" t="str">
        <f>Project_Tracker[[#This Row],[Project Lead]]&amp;", "&amp;Project_Tracker[[#This Row],[Team Collaboration]]</f>
        <v>ASN, ARS, DHI</v>
      </c>
      <c r="V74" s="37"/>
      <c r="W74" s="37"/>
      <c r="X74" s="56"/>
      <c r="Y74" s="10"/>
      <c r="Z74" s="10"/>
      <c r="AC74" s="10">
        <v>2025</v>
      </c>
    </row>
    <row r="75" spans="1:29" ht="10.199999999999999" x14ac:dyDescent="0.3">
      <c r="A75" s="17"/>
      <c r="B75" s="91" t="s">
        <v>29</v>
      </c>
      <c r="C75" s="92" t="s">
        <v>281</v>
      </c>
      <c r="D75" s="93" t="s">
        <v>301</v>
      </c>
      <c r="E75" s="67" t="s">
        <v>302</v>
      </c>
      <c r="F75" s="94" t="s">
        <v>85</v>
      </c>
      <c r="G75" s="94"/>
      <c r="H75" s="22">
        <v>1</v>
      </c>
      <c r="I75" s="23"/>
      <c r="J75" s="23"/>
      <c r="K75" s="23"/>
      <c r="L75" s="116" t="s">
        <v>44</v>
      </c>
      <c r="M75" s="85"/>
      <c r="N75" s="85"/>
      <c r="O75" s="24"/>
      <c r="P75" s="24"/>
      <c r="Q75" s="24"/>
      <c r="R75" s="24"/>
      <c r="S75" s="46" t="str">
        <f>IF(Project_Tracker[[#This Row],[Project Lead]]="", "", IFERROR(VLOOKUP(Project_Tracker[[#This Row],[Project Lead]], Setting!C:D, 2, 0), ""))</f>
        <v>andri_s@banpuindo.co.id</v>
      </c>
      <c r="T75" s="47"/>
      <c r="U75" s="37" t="str">
        <f>Project_Tracker[[#This Row],[Project Lead]]&amp;", "&amp;Project_Tracker[[#This Row],[Team Collaboration]]</f>
        <v xml:space="preserve">ASN, </v>
      </c>
      <c r="V75" s="37"/>
      <c r="W75" s="37"/>
      <c r="X75" s="56"/>
      <c r="Y75" s="10"/>
      <c r="Z75" s="10"/>
      <c r="AC75" s="10">
        <v>2025</v>
      </c>
    </row>
    <row r="76" spans="1:29" ht="10.199999999999999" x14ac:dyDescent="0.3">
      <c r="A76" s="17"/>
      <c r="B76" s="18" t="s">
        <v>29</v>
      </c>
      <c r="C76" s="95" t="s">
        <v>272</v>
      </c>
      <c r="D76" s="55" t="s">
        <v>303</v>
      </c>
      <c r="E76" s="68" t="s">
        <v>304</v>
      </c>
      <c r="F76" s="42" t="s">
        <v>33</v>
      </c>
      <c r="G76" s="42"/>
      <c r="H76" s="96">
        <v>0.1</v>
      </c>
      <c r="I76" s="23"/>
      <c r="J76" s="23"/>
      <c r="K76" s="23">
        <v>45960</v>
      </c>
      <c r="L76" s="24" t="s">
        <v>7</v>
      </c>
      <c r="M76" s="85"/>
      <c r="N76" s="85"/>
      <c r="O76" s="24"/>
      <c r="P76" s="24"/>
      <c r="Q76" s="24"/>
      <c r="R76" s="24"/>
      <c r="S76" s="97" t="str">
        <f>IF(Project_Tracker[[#This Row],[Project Lead]]="", "", IFERROR(VLOOKUP(Project_Tracker[[#This Row],[Project Lead]], Setting!C:D, 2, 0), ""))</f>
        <v>aldy_rienaldy@banpuindo.co.id</v>
      </c>
      <c r="T76" s="98"/>
      <c r="U76" s="37" t="str">
        <f>Project_Tracker[[#This Row],[Project Lead]]&amp;", "&amp;Project_Tracker[[#This Row],[Team Collaboration]]</f>
        <v xml:space="preserve">ALR, </v>
      </c>
      <c r="V76" s="37"/>
      <c r="W76" s="37"/>
      <c r="X76" s="99"/>
      <c r="Y76" s="10"/>
      <c r="Z76" s="10"/>
      <c r="AC76" s="10">
        <v>2025</v>
      </c>
    </row>
    <row r="77" spans="1:29" ht="51" x14ac:dyDescent="0.3">
      <c r="A77" s="17"/>
      <c r="B77" s="18" t="s">
        <v>29</v>
      </c>
      <c r="C77" s="18" t="s">
        <v>281</v>
      </c>
      <c r="D77" s="55" t="s">
        <v>305</v>
      </c>
      <c r="E77" s="68" t="s">
        <v>306</v>
      </c>
      <c r="F77" s="42" t="s">
        <v>33</v>
      </c>
      <c r="G77" s="42" t="s">
        <v>48</v>
      </c>
      <c r="H77" s="22">
        <v>1</v>
      </c>
      <c r="I77" s="23">
        <v>45869</v>
      </c>
      <c r="J77" s="23">
        <v>45831</v>
      </c>
      <c r="K77" s="23">
        <v>45855</v>
      </c>
      <c r="L77" s="24" t="s">
        <v>55</v>
      </c>
      <c r="M77" s="101" t="s">
        <v>307</v>
      </c>
      <c r="N77" s="101" t="s">
        <v>102</v>
      </c>
      <c r="O77" s="21" t="s">
        <v>38</v>
      </c>
      <c r="P77" s="24"/>
      <c r="Q77" s="24"/>
      <c r="R77" s="24"/>
      <c r="S77" s="97" t="str">
        <f>IF(Project_Tracker[[#This Row],[Project Lead]]="", "", IFERROR(VLOOKUP(Project_Tracker[[#This Row],[Project Lead]], Setting!C:D, 2, 0), ""))</f>
        <v>aldy_rienaldy@banpuindo.co.id</v>
      </c>
      <c r="T77" s="98"/>
      <c r="U77" s="37" t="str">
        <f>Project_Tracker[[#This Row],[Project Lead]]&amp;", "&amp;Project_Tracker[[#This Row],[Team Collaboration]]</f>
        <v>ALR, ARS</v>
      </c>
      <c r="V77" s="37"/>
      <c r="W77" s="37"/>
      <c r="X77" s="99"/>
      <c r="Y77" s="10"/>
      <c r="Z77" s="10"/>
      <c r="AC77" s="10">
        <v>2025</v>
      </c>
    </row>
    <row r="78" spans="1:29" ht="61.2" x14ac:dyDescent="0.3">
      <c r="A78" s="17"/>
      <c r="B78" s="18" t="s">
        <v>29</v>
      </c>
      <c r="C78" s="95" t="s">
        <v>272</v>
      </c>
      <c r="D78" s="55" t="s">
        <v>308</v>
      </c>
      <c r="E78" s="68" t="s">
        <v>309</v>
      </c>
      <c r="F78" s="42" t="s">
        <v>33</v>
      </c>
      <c r="G78" s="42" t="s">
        <v>70</v>
      </c>
      <c r="H78" s="22">
        <v>1</v>
      </c>
      <c r="I78" s="23">
        <v>45937</v>
      </c>
      <c r="J78" s="23">
        <v>45855</v>
      </c>
      <c r="K78" s="23">
        <v>45937</v>
      </c>
      <c r="L78" s="24" t="s">
        <v>55</v>
      </c>
      <c r="M78" s="101" t="s">
        <v>310</v>
      </c>
      <c r="N78" s="101" t="s">
        <v>311</v>
      </c>
      <c r="O78" s="21" t="s">
        <v>38</v>
      </c>
      <c r="P78" s="24"/>
      <c r="Q78" s="24"/>
      <c r="R78" s="24"/>
      <c r="S78" s="97" t="str">
        <f>IF(Project_Tracker[[#This Row],[Project Lead]]="", "", IFERROR(VLOOKUP(Project_Tracker[[#This Row],[Project Lead]], Setting!C:D, 2, 0), ""))</f>
        <v>aldy_rienaldy@banpuindo.co.id</v>
      </c>
      <c r="T78" s="98"/>
      <c r="U78" s="37" t="str">
        <f>Project_Tracker[[#This Row],[Project Lead]]&amp;", "&amp;Project_Tracker[[#This Row],[Team Collaboration]]</f>
        <v>ALR, DHI</v>
      </c>
      <c r="V78" s="37"/>
      <c r="W78" s="37"/>
      <c r="X78" s="99"/>
      <c r="Y78" s="10"/>
      <c r="Z78" s="10"/>
      <c r="AC78" s="10">
        <v>2025</v>
      </c>
    </row>
    <row r="79" spans="1:29" ht="10.199999999999999" x14ac:dyDescent="0.3">
      <c r="A79" s="17"/>
      <c r="B79" s="18" t="s">
        <v>29</v>
      </c>
      <c r="C79" s="95" t="s">
        <v>272</v>
      </c>
      <c r="D79" s="55" t="s">
        <v>312</v>
      </c>
      <c r="E79" s="68" t="s">
        <v>313</v>
      </c>
      <c r="F79" s="42" t="s">
        <v>48</v>
      </c>
      <c r="G79" s="42"/>
      <c r="H79" s="22">
        <v>0.9</v>
      </c>
      <c r="I79" s="23">
        <v>46016</v>
      </c>
      <c r="J79" s="23">
        <v>45869</v>
      </c>
      <c r="K79" s="23">
        <v>46016</v>
      </c>
      <c r="L79" s="24" t="s">
        <v>7</v>
      </c>
      <c r="M79" s="106" t="s">
        <v>314</v>
      </c>
      <c r="N79" s="106" t="s">
        <v>315</v>
      </c>
      <c r="O79" s="24"/>
      <c r="P79" s="24"/>
      <c r="Q79" s="24"/>
      <c r="R79" s="24"/>
      <c r="S79" s="97" t="str">
        <f>IF(Project_Tracker[[#This Row],[Project Lead]]="", "", IFERROR(VLOOKUP(Project_Tracker[[#This Row],[Project Lead]], Setting!C:D, 2, 0), ""))</f>
        <v>aditya_r@banpuindo.co.id</v>
      </c>
      <c r="T79" s="98"/>
      <c r="U79" s="37" t="str">
        <f>Project_Tracker[[#This Row],[Project Lead]]&amp;", "&amp;Project_Tracker[[#This Row],[Team Collaboration]]</f>
        <v xml:space="preserve">ARS, </v>
      </c>
      <c r="V79" s="37"/>
      <c r="W79" s="37"/>
      <c r="X79" s="99"/>
      <c r="Y79" s="10"/>
      <c r="Z79" s="10"/>
      <c r="AC79" s="10">
        <v>2025</v>
      </c>
    </row>
    <row r="80" spans="1:29" ht="10.199999999999999" x14ac:dyDescent="0.3">
      <c r="A80" s="17"/>
      <c r="B80" s="18" t="s">
        <v>29</v>
      </c>
      <c r="C80" s="95" t="s">
        <v>272</v>
      </c>
      <c r="D80" s="55" t="s">
        <v>316</v>
      </c>
      <c r="E80" s="68" t="s">
        <v>317</v>
      </c>
      <c r="F80" s="42" t="s">
        <v>48</v>
      </c>
      <c r="G80" s="42"/>
      <c r="H80" s="22">
        <v>1</v>
      </c>
      <c r="I80" s="23">
        <v>45930</v>
      </c>
      <c r="J80" s="23"/>
      <c r="K80" s="23"/>
      <c r="L80" s="24" t="s">
        <v>55</v>
      </c>
      <c r="M80" s="106" t="s">
        <v>318</v>
      </c>
      <c r="N80" s="106" t="s">
        <v>319</v>
      </c>
      <c r="O80" s="24"/>
      <c r="P80" s="24"/>
      <c r="Q80" s="24"/>
      <c r="R80" s="24"/>
      <c r="S80" s="97" t="str">
        <f>IF(Project_Tracker[[#This Row],[Project Lead]]="", "", IFERROR(VLOOKUP(Project_Tracker[[#This Row],[Project Lead]], Setting!C:D, 2, 0), ""))</f>
        <v>aditya_r@banpuindo.co.id</v>
      </c>
      <c r="T80" s="98"/>
      <c r="U80" s="37" t="str">
        <f>Project_Tracker[[#This Row],[Project Lead]]&amp;", "&amp;Project_Tracker[[#This Row],[Team Collaboration]]</f>
        <v xml:space="preserve">ARS, </v>
      </c>
      <c r="V80" s="37"/>
      <c r="W80" s="37"/>
      <c r="X80" s="99"/>
      <c r="Y80" s="10"/>
      <c r="Z80" s="10"/>
      <c r="AC80" s="10">
        <v>2025</v>
      </c>
    </row>
    <row r="81" spans="1:29" ht="20.399999999999999" x14ac:dyDescent="0.3">
      <c r="A81" s="17"/>
      <c r="B81" s="18" t="s">
        <v>29</v>
      </c>
      <c r="C81" s="95" t="s">
        <v>272</v>
      </c>
      <c r="D81" s="55" t="s">
        <v>320</v>
      </c>
      <c r="E81" s="68" t="s">
        <v>321</v>
      </c>
      <c r="F81" s="42" t="s">
        <v>48</v>
      </c>
      <c r="G81" s="42"/>
      <c r="H81" s="22">
        <v>0.75</v>
      </c>
      <c r="I81" s="23">
        <v>45930</v>
      </c>
      <c r="J81" s="23"/>
      <c r="K81" s="23"/>
      <c r="L81" s="24" t="s">
        <v>7</v>
      </c>
      <c r="M81" s="114" t="s">
        <v>322</v>
      </c>
      <c r="N81" s="106" t="s">
        <v>323</v>
      </c>
      <c r="O81" s="24"/>
      <c r="P81" s="24"/>
      <c r="Q81" s="24"/>
      <c r="R81" s="24"/>
      <c r="S81" s="97" t="str">
        <f>IF(Project_Tracker[[#This Row],[Project Lead]]="", "", IFERROR(VLOOKUP(Project_Tracker[[#This Row],[Project Lead]], Setting!C:D, 2, 0), ""))</f>
        <v>aditya_r@banpuindo.co.id</v>
      </c>
      <c r="T81" s="98"/>
      <c r="U81" s="37" t="str">
        <f>Project_Tracker[[#This Row],[Project Lead]]&amp;", "&amp;Project_Tracker[[#This Row],[Team Collaboration]]</f>
        <v xml:space="preserve">ARS, </v>
      </c>
      <c r="V81" s="37"/>
      <c r="W81" s="37"/>
      <c r="X81" s="99"/>
      <c r="Y81" s="10"/>
      <c r="Z81" s="10"/>
      <c r="AC81" s="10">
        <v>2025</v>
      </c>
    </row>
    <row r="82" spans="1:29" ht="10.199999999999999" x14ac:dyDescent="0.3">
      <c r="A82" s="17"/>
      <c r="B82" s="18" t="s">
        <v>324</v>
      </c>
      <c r="C82" s="95"/>
      <c r="D82" s="55" t="s">
        <v>325</v>
      </c>
      <c r="E82" s="68" t="s">
        <v>302</v>
      </c>
      <c r="F82" s="42" t="s">
        <v>70</v>
      </c>
      <c r="G82" s="42"/>
      <c r="H82" s="22"/>
      <c r="I82" s="23"/>
      <c r="J82" s="23"/>
      <c r="K82" s="23"/>
      <c r="L82" s="116" t="s">
        <v>44</v>
      </c>
      <c r="M82" s="85"/>
      <c r="N82" s="85"/>
      <c r="O82" s="24"/>
      <c r="P82" s="24"/>
      <c r="Q82" s="24"/>
      <c r="R82" s="24"/>
      <c r="S82" s="97" t="str">
        <f>IF(Project_Tracker[[#This Row],[Project Lead]]="", "", IFERROR(VLOOKUP(Project_Tracker[[#This Row],[Project Lead]], Setting!C:D, 2, 0), ""))</f>
        <v>dhany_indraswara@banpuindo.co.id</v>
      </c>
      <c r="T82" s="98"/>
      <c r="U82" s="37" t="str">
        <f>Project_Tracker[[#This Row],[Project Lead]]&amp;", "&amp;Project_Tracker[[#This Row],[Team Collaboration]]</f>
        <v xml:space="preserve">DHI, </v>
      </c>
      <c r="V82" s="37"/>
      <c r="W82" s="37"/>
      <c r="X82" s="99"/>
      <c r="Y82" s="10"/>
      <c r="Z82" s="10"/>
      <c r="AC82" s="10">
        <v>2025</v>
      </c>
    </row>
    <row r="83" spans="1:29" ht="40.799999999999997" x14ac:dyDescent="0.3">
      <c r="A83" s="17"/>
      <c r="B83" s="18" t="s">
        <v>29</v>
      </c>
      <c r="C83" s="95" t="s">
        <v>272</v>
      </c>
      <c r="D83" s="55" t="s">
        <v>326</v>
      </c>
      <c r="E83" s="68" t="s">
        <v>327</v>
      </c>
      <c r="F83" s="42" t="s">
        <v>48</v>
      </c>
      <c r="G83" s="42"/>
      <c r="H83" s="22">
        <v>0.5</v>
      </c>
      <c r="I83" s="23">
        <v>46021</v>
      </c>
      <c r="J83" s="23"/>
      <c r="K83" s="23"/>
      <c r="L83" s="24" t="s">
        <v>7</v>
      </c>
      <c r="M83" s="101" t="s">
        <v>328</v>
      </c>
      <c r="N83" s="106" t="s">
        <v>329</v>
      </c>
      <c r="O83" s="24"/>
      <c r="P83" s="24"/>
      <c r="Q83" s="24"/>
      <c r="R83" s="24"/>
      <c r="S83" s="97" t="str">
        <f>IF(Project_Tracker[[#This Row],[Project Lead]]="", "", IFERROR(VLOOKUP(Project_Tracker[[#This Row],[Project Lead]], Setting!C:D, 2, 0), ""))</f>
        <v>aditya_r@banpuindo.co.id</v>
      </c>
      <c r="T83" s="98"/>
      <c r="U83" s="37" t="str">
        <f>Project_Tracker[[#This Row],[Project Lead]]&amp;", "&amp;Project_Tracker[[#This Row],[Team Collaboration]]</f>
        <v xml:space="preserve">ARS, </v>
      </c>
      <c r="V83" s="37"/>
      <c r="W83" s="37"/>
      <c r="X83" s="99"/>
      <c r="Y83" s="10"/>
      <c r="Z83" s="10"/>
      <c r="AC83" s="10">
        <v>2025</v>
      </c>
    </row>
    <row r="84" spans="1:29" ht="71.25" customHeight="1" x14ac:dyDescent="0.3">
      <c r="A84" s="17"/>
      <c r="B84" s="18" t="s">
        <v>29</v>
      </c>
      <c r="C84" s="95" t="s">
        <v>272</v>
      </c>
      <c r="D84" s="55" t="s">
        <v>330</v>
      </c>
      <c r="E84" s="68" t="s">
        <v>331</v>
      </c>
      <c r="F84" s="42" t="s">
        <v>48</v>
      </c>
      <c r="G84" s="42"/>
      <c r="H84" s="22">
        <v>0.75</v>
      </c>
      <c r="I84" s="23">
        <v>46021</v>
      </c>
      <c r="J84" s="23"/>
      <c r="K84" s="23">
        <v>46021</v>
      </c>
      <c r="L84" s="24" t="s">
        <v>7</v>
      </c>
      <c r="M84" s="101" t="s">
        <v>332</v>
      </c>
      <c r="N84" s="106" t="s">
        <v>333</v>
      </c>
      <c r="O84" s="24"/>
      <c r="P84" s="24"/>
      <c r="Q84" s="24"/>
      <c r="R84" s="24"/>
      <c r="S84" s="97" t="str">
        <f>IF(Project_Tracker[[#This Row],[Project Lead]]="", "", IFERROR(VLOOKUP(Project_Tracker[[#This Row],[Project Lead]], Setting!C:D, 2, 0), ""))</f>
        <v>aditya_r@banpuindo.co.id</v>
      </c>
      <c r="T84" s="98"/>
      <c r="U84" s="37" t="str">
        <f>Project_Tracker[[#This Row],[Project Lead]]&amp;", "&amp;Project_Tracker[[#This Row],[Team Collaboration]]</f>
        <v xml:space="preserve">ARS, </v>
      </c>
      <c r="V84" s="37"/>
      <c r="W84" s="37"/>
      <c r="X84" s="99"/>
      <c r="Y84" s="10"/>
      <c r="Z84" s="10"/>
      <c r="AC84" s="10">
        <v>2025</v>
      </c>
    </row>
    <row r="85" spans="1:29" ht="20.399999999999999" x14ac:dyDescent="0.3">
      <c r="A85" s="17"/>
      <c r="B85" s="18" t="s">
        <v>29</v>
      </c>
      <c r="C85" s="95" t="s">
        <v>272</v>
      </c>
      <c r="D85" s="55" t="s">
        <v>334</v>
      </c>
      <c r="E85" s="68" t="s">
        <v>335</v>
      </c>
      <c r="F85" s="42" t="s">
        <v>48</v>
      </c>
      <c r="G85" s="42"/>
      <c r="H85" s="22">
        <v>1</v>
      </c>
      <c r="I85" s="23"/>
      <c r="J85" s="23"/>
      <c r="K85" s="23"/>
      <c r="L85" s="24" t="s">
        <v>55</v>
      </c>
      <c r="M85" s="101" t="s">
        <v>336</v>
      </c>
      <c r="N85" s="106" t="s">
        <v>337</v>
      </c>
      <c r="O85" s="24"/>
      <c r="P85" s="24"/>
      <c r="Q85" s="24"/>
      <c r="R85" s="24"/>
      <c r="S85" s="97" t="str">
        <f>IF(Project_Tracker[[#This Row],[Project Lead]]="", "", IFERROR(VLOOKUP(Project_Tracker[[#This Row],[Project Lead]], Setting!C:D, 2, 0), ""))</f>
        <v>aditya_r@banpuindo.co.id</v>
      </c>
      <c r="T85" s="98"/>
      <c r="U85" s="37" t="str">
        <f>Project_Tracker[[#This Row],[Project Lead]]&amp;", "&amp;Project_Tracker[[#This Row],[Team Collaboration]]</f>
        <v xml:space="preserve">ARS, </v>
      </c>
      <c r="V85" s="37"/>
      <c r="W85" s="37"/>
      <c r="X85" s="99"/>
      <c r="Y85" s="10"/>
      <c r="Z85" s="10"/>
      <c r="AC85" s="10">
        <v>2025</v>
      </c>
    </row>
    <row r="86" spans="1:29" ht="101.4" customHeight="1" x14ac:dyDescent="0.3">
      <c r="A86" s="17">
        <v>59</v>
      </c>
      <c r="B86" s="18" t="s">
        <v>338</v>
      </c>
      <c r="C86" s="18" t="s">
        <v>339</v>
      </c>
      <c r="D86" s="31" t="s">
        <v>340</v>
      </c>
      <c r="E86" s="7" t="s">
        <v>341</v>
      </c>
      <c r="F86" s="9" t="s">
        <v>85</v>
      </c>
      <c r="G86" s="9" t="s">
        <v>342</v>
      </c>
      <c r="H86" s="22">
        <v>0.3</v>
      </c>
      <c r="I86" s="40" t="s">
        <v>243</v>
      </c>
      <c r="J86" s="23"/>
      <c r="K86" s="23"/>
      <c r="L86" s="24" t="s">
        <v>7</v>
      </c>
      <c r="M86" s="24"/>
      <c r="N86" s="24"/>
      <c r="O86" s="24"/>
      <c r="P86" s="24"/>
      <c r="Q86" s="24"/>
      <c r="R86" s="24"/>
      <c r="S86" s="26" t="str">
        <f>IF(Project_Tracker[[#This Row],[Project Lead]]="", "", IFERROR(VLOOKUP(Project_Tracker[[#This Row],[Project Lead]], Setting!C:D, 2, 0), ""))</f>
        <v>andri_s@banpuindo.co.id</v>
      </c>
      <c r="T86" s="37"/>
      <c r="U86" s="37" t="str">
        <f>Project_Tracker[[#This Row],[Project Lead]]&amp;", "&amp;Project_Tracker[[#This Row],[Team Collaboration]]</f>
        <v>ASN, RSW, AFZ, BEY</v>
      </c>
      <c r="V86" s="37"/>
      <c r="W86" s="37"/>
      <c r="X86" s="21"/>
      <c r="Y86" s="10"/>
      <c r="Z86" s="10"/>
      <c r="AC86" s="10">
        <v>2025</v>
      </c>
    </row>
    <row r="87" spans="1:29" ht="40.799999999999997" x14ac:dyDescent="0.3">
      <c r="A87" s="17">
        <v>60</v>
      </c>
      <c r="B87" s="18" t="s">
        <v>338</v>
      </c>
      <c r="C87" s="18" t="s">
        <v>339</v>
      </c>
      <c r="D87" s="31" t="s">
        <v>343</v>
      </c>
      <c r="E87" s="7" t="s">
        <v>344</v>
      </c>
      <c r="F87" s="9" t="s">
        <v>345</v>
      </c>
      <c r="G87" s="9" t="s">
        <v>346</v>
      </c>
      <c r="H87" s="22">
        <v>0.2</v>
      </c>
      <c r="I87" s="40" t="s">
        <v>347</v>
      </c>
      <c r="J87" s="23"/>
      <c r="K87" s="23"/>
      <c r="L87" s="24" t="s">
        <v>7</v>
      </c>
      <c r="M87" s="18" t="s">
        <v>348</v>
      </c>
      <c r="N87" s="18" t="s">
        <v>349</v>
      </c>
      <c r="O87" s="24"/>
      <c r="P87" s="24"/>
      <c r="Q87" s="24"/>
      <c r="R87" s="24"/>
      <c r="S87" s="26" t="str">
        <f>IF(Project_Tracker[[#This Row],[Project Lead]]="", "", IFERROR(VLOOKUP(Project_Tracker[[#This Row],[Project Lead]], Setting!C:D, 2, 0), ""))</f>
        <v>reza_suryawardhana@banpuindo.co.id</v>
      </c>
      <c r="T87" s="37"/>
      <c r="U87" s="37" t="str">
        <f>Project_Tracker[[#This Row],[Project Lead]]&amp;", "&amp;Project_Tracker[[#This Row],[Team Collaboration]]</f>
        <v>RSW, AFZ, BEY</v>
      </c>
      <c r="V87" s="37"/>
      <c r="W87" s="37"/>
      <c r="X87" s="21"/>
      <c r="Y87" s="10"/>
      <c r="Z87" s="10"/>
      <c r="AC87" s="10">
        <v>2025</v>
      </c>
    </row>
    <row r="88" spans="1:29" ht="136.5" customHeight="1" x14ac:dyDescent="0.3">
      <c r="A88" s="17">
        <v>6</v>
      </c>
      <c r="B88" s="18" t="s">
        <v>29</v>
      </c>
      <c r="C88" s="18" t="s">
        <v>52</v>
      </c>
      <c r="D88" s="20" t="s">
        <v>350</v>
      </c>
      <c r="E88" s="28" t="s">
        <v>351</v>
      </c>
      <c r="F88" s="29" t="s">
        <v>164</v>
      </c>
      <c r="G88" s="29" t="s">
        <v>352</v>
      </c>
      <c r="H88" s="22">
        <v>0.9</v>
      </c>
      <c r="I88" s="40" t="s">
        <v>60</v>
      </c>
      <c r="J88" s="23"/>
      <c r="K88" s="23"/>
      <c r="L88" s="24" t="s">
        <v>7</v>
      </c>
      <c r="M88" s="18" t="s">
        <v>353</v>
      </c>
      <c r="N88" s="18" t="s">
        <v>354</v>
      </c>
      <c r="O88" s="20" t="s">
        <v>355</v>
      </c>
      <c r="P88" s="24"/>
      <c r="Q88" s="49"/>
      <c r="R88" s="49" t="s">
        <v>356</v>
      </c>
      <c r="S88" s="26" t="str">
        <f>IF(Project_Tracker[[#This Row],[Project Lead]]="", "", IFERROR(VLOOKUP(Project_Tracker[[#This Row],[Project Lead]], Setting!C:D, 2, 0), ""))</f>
        <v>bella_yolanda@banpuindo.co.id</v>
      </c>
      <c r="T88" s="37"/>
      <c r="U88" s="37" t="str">
        <f>Project_Tracker[[#This Row],[Project Lead]]&amp;", "&amp;Project_Tracker[[#This Row],[Team Collaboration]]</f>
        <v>BEY, RSW, AFZ</v>
      </c>
      <c r="V88" s="37"/>
      <c r="W88" s="37"/>
      <c r="X88" s="21"/>
      <c r="Y88" s="10"/>
      <c r="Z88" s="10"/>
      <c r="AC88" s="10">
        <v>2025</v>
      </c>
    </row>
    <row r="89" spans="1:29" ht="156.75" customHeight="1" x14ac:dyDescent="0.3">
      <c r="A89" s="17">
        <v>61</v>
      </c>
      <c r="B89" s="18" t="s">
        <v>338</v>
      </c>
      <c r="C89" s="18" t="s">
        <v>339</v>
      </c>
      <c r="D89" s="31" t="s">
        <v>357</v>
      </c>
      <c r="E89" s="7" t="s">
        <v>358</v>
      </c>
      <c r="F89" s="9" t="s">
        <v>164</v>
      </c>
      <c r="G89" s="9" t="s">
        <v>168</v>
      </c>
      <c r="H89" s="22">
        <v>0.9</v>
      </c>
      <c r="I89" s="40" t="s">
        <v>347</v>
      </c>
      <c r="J89" s="23"/>
      <c r="K89" s="23"/>
      <c r="L89" s="24" t="s">
        <v>35</v>
      </c>
      <c r="M89" s="18" t="s">
        <v>359</v>
      </c>
      <c r="N89" s="18" t="s">
        <v>360</v>
      </c>
      <c r="O89" s="20"/>
      <c r="P89" s="24"/>
      <c r="Q89" s="24"/>
      <c r="R89" s="24"/>
      <c r="S89" s="26" t="str">
        <f>IF(Project_Tracker[[#This Row],[Project Lead]]="", "", IFERROR(VLOOKUP(Project_Tracker[[#This Row],[Project Lead]], Setting!C:D, 2, 0), ""))</f>
        <v>bella_yolanda@banpuindo.co.id</v>
      </c>
      <c r="T89" s="37"/>
      <c r="U89" s="37" t="str">
        <f>Project_Tracker[[#This Row],[Project Lead]]&amp;", "&amp;Project_Tracker[[#This Row],[Team Collaboration]]</f>
        <v>BEY, AFZ</v>
      </c>
      <c r="V89" s="37"/>
      <c r="W89" s="37"/>
      <c r="X89" s="21"/>
      <c r="Y89" s="10"/>
      <c r="Z89" s="10"/>
      <c r="AC89" s="10">
        <v>2025</v>
      </c>
    </row>
    <row r="90" spans="1:29" ht="95.25" customHeight="1" x14ac:dyDescent="0.3">
      <c r="A90" s="17">
        <v>63</v>
      </c>
      <c r="B90" s="18" t="s">
        <v>338</v>
      </c>
      <c r="C90" s="18" t="s">
        <v>339</v>
      </c>
      <c r="D90" s="31" t="s">
        <v>361</v>
      </c>
      <c r="E90" s="7" t="s">
        <v>362</v>
      </c>
      <c r="F90" s="9" t="s">
        <v>345</v>
      </c>
      <c r="G90" s="9" t="s">
        <v>164</v>
      </c>
      <c r="H90" s="22">
        <v>0.18</v>
      </c>
      <c r="I90" s="40" t="s">
        <v>347</v>
      </c>
      <c r="J90" s="23"/>
      <c r="K90" s="23"/>
      <c r="L90" s="24" t="s">
        <v>7</v>
      </c>
      <c r="M90" s="21" t="s">
        <v>363</v>
      </c>
      <c r="N90" s="21"/>
      <c r="O90" s="24"/>
      <c r="P90" s="24"/>
      <c r="Q90" s="24"/>
      <c r="R90" s="24"/>
      <c r="S90" s="26" t="str">
        <f>IF(Project_Tracker[[#This Row],[Project Lead]]="", "", IFERROR(VLOOKUP(Project_Tracker[[#This Row],[Project Lead]], Setting!C:D, 2, 0), ""))</f>
        <v>reza_suryawardhana@banpuindo.co.id</v>
      </c>
      <c r="T90" s="37"/>
      <c r="U90" s="37" t="str">
        <f>Project_Tracker[[#This Row],[Project Lead]]&amp;", "&amp;Project_Tracker[[#This Row],[Team Collaboration]]</f>
        <v>RSW, BEY</v>
      </c>
      <c r="V90" s="37"/>
      <c r="W90" s="37"/>
      <c r="X90" s="21"/>
      <c r="Y90" s="10"/>
      <c r="Z90" s="10"/>
      <c r="AC90" s="10">
        <v>2025</v>
      </c>
    </row>
    <row r="91" spans="1:29" ht="193.8" x14ac:dyDescent="0.3">
      <c r="A91" s="17">
        <v>64</v>
      </c>
      <c r="B91" s="18" t="s">
        <v>338</v>
      </c>
      <c r="C91" s="18" t="s">
        <v>339</v>
      </c>
      <c r="D91" s="31" t="s">
        <v>364</v>
      </c>
      <c r="E91" s="7" t="s">
        <v>365</v>
      </c>
      <c r="F91" s="9" t="s">
        <v>345</v>
      </c>
      <c r="G91" s="9" t="s">
        <v>346</v>
      </c>
      <c r="H91" s="22">
        <v>0.9</v>
      </c>
      <c r="I91" s="40" t="s">
        <v>347</v>
      </c>
      <c r="J91" s="23"/>
      <c r="K91" s="23"/>
      <c r="L91" s="24" t="s">
        <v>7</v>
      </c>
      <c r="M91" s="18" t="s">
        <v>366</v>
      </c>
      <c r="N91" s="18" t="s">
        <v>367</v>
      </c>
      <c r="O91" s="24"/>
      <c r="P91" s="24"/>
      <c r="Q91" s="24"/>
      <c r="R91" s="24"/>
      <c r="S91" s="26" t="str">
        <f>IF(Project_Tracker[[#This Row],[Project Lead]]="", "", IFERROR(VLOOKUP(Project_Tracker[[#This Row],[Project Lead]], Setting!C:D, 2, 0), ""))</f>
        <v>reza_suryawardhana@banpuindo.co.id</v>
      </c>
      <c r="T91" s="37"/>
      <c r="U91" s="37" t="str">
        <f>Project_Tracker[[#This Row],[Project Lead]]&amp;", "&amp;Project_Tracker[[#This Row],[Team Collaboration]]</f>
        <v>RSW, AFZ, BEY</v>
      </c>
      <c r="V91" s="37"/>
      <c r="W91" s="37"/>
      <c r="X91" s="21"/>
      <c r="Y91" s="10"/>
      <c r="Z91" s="10"/>
      <c r="AC91" s="10">
        <v>2025</v>
      </c>
    </row>
    <row r="92" spans="1:29" ht="40.799999999999997" x14ac:dyDescent="0.3">
      <c r="A92" s="17">
        <v>65</v>
      </c>
      <c r="B92" s="18" t="s">
        <v>338</v>
      </c>
      <c r="C92" s="18" t="s">
        <v>339</v>
      </c>
      <c r="D92" s="31" t="s">
        <v>368</v>
      </c>
      <c r="E92" s="7" t="s">
        <v>369</v>
      </c>
      <c r="F92" s="9" t="s">
        <v>168</v>
      </c>
      <c r="G92" s="9" t="s">
        <v>370</v>
      </c>
      <c r="H92" s="22">
        <v>0.5</v>
      </c>
      <c r="I92" s="40" t="s">
        <v>43</v>
      </c>
      <c r="J92" s="23">
        <v>45663</v>
      </c>
      <c r="K92" s="23">
        <v>46010</v>
      </c>
      <c r="L92" s="24" t="s">
        <v>7</v>
      </c>
      <c r="M92" s="50" t="s">
        <v>371</v>
      </c>
      <c r="N92" s="50" t="s">
        <v>372</v>
      </c>
      <c r="O92" s="24"/>
      <c r="P92" s="24"/>
      <c r="Q92" s="24"/>
      <c r="R92" s="24"/>
      <c r="S92" s="26" t="str">
        <f>IF(Project_Tracker[[#This Row],[Project Lead]]="", "", IFERROR(VLOOKUP(Project_Tracker[[#This Row],[Project Lead]], Setting!C:D, 2, 0), ""))</f>
        <v>afrizon_afrizon@banpuindo.co.id</v>
      </c>
      <c r="T92" s="37"/>
      <c r="U92" s="37" t="str">
        <f>Project_Tracker[[#This Row],[Project Lead]]&amp;", "&amp;Project_Tracker[[#This Row],[Team Collaboration]]</f>
        <v>AFZ, BEY, RSW</v>
      </c>
      <c r="V92" s="37"/>
      <c r="W92" s="37"/>
      <c r="X92" s="21"/>
      <c r="Y92" s="10"/>
      <c r="Z92" s="10"/>
      <c r="AC92" s="10">
        <v>2025</v>
      </c>
    </row>
    <row r="93" spans="1:29" ht="336.75" customHeight="1" x14ac:dyDescent="0.3">
      <c r="A93" s="17">
        <v>62</v>
      </c>
      <c r="B93" s="18" t="s">
        <v>338</v>
      </c>
      <c r="C93" s="18" t="s">
        <v>339</v>
      </c>
      <c r="D93" s="31" t="s">
        <v>373</v>
      </c>
      <c r="E93" s="7" t="s">
        <v>374</v>
      </c>
      <c r="F93" s="9" t="s">
        <v>164</v>
      </c>
      <c r="G93" s="9" t="s">
        <v>352</v>
      </c>
      <c r="H93" s="22">
        <v>1</v>
      </c>
      <c r="I93" s="40" t="s">
        <v>43</v>
      </c>
      <c r="J93" s="23"/>
      <c r="K93" s="23"/>
      <c r="L93" s="24" t="s">
        <v>55</v>
      </c>
      <c r="M93" s="113" t="s">
        <v>375</v>
      </c>
      <c r="N93" s="86"/>
      <c r="O93" s="24" t="s">
        <v>376</v>
      </c>
      <c r="P93" s="24"/>
      <c r="Q93" s="24"/>
      <c r="R93" s="24"/>
      <c r="S93" s="26" t="str">
        <f>IF(Project_Tracker[[#This Row],[Project Lead]]="", "", IFERROR(VLOOKUP(Project_Tracker[[#This Row],[Project Lead]], Setting!C:D, 2, 0), ""))</f>
        <v>bella_yolanda@banpuindo.co.id</v>
      </c>
      <c r="T93" s="37"/>
      <c r="U93" s="37" t="str">
        <f>Project_Tracker[[#This Row],[Project Lead]]&amp;", "&amp;Project_Tracker[[#This Row],[Team Collaboration]]</f>
        <v>BEY, RSW, AFZ</v>
      </c>
      <c r="V93" s="37"/>
      <c r="W93" s="37"/>
      <c r="X93" s="21"/>
      <c r="Y93" s="10"/>
      <c r="Z93" s="10"/>
      <c r="AC93" s="10">
        <v>2025</v>
      </c>
    </row>
    <row r="94" spans="1:29" ht="193.8" x14ac:dyDescent="0.3">
      <c r="A94" s="17">
        <v>67</v>
      </c>
      <c r="B94" s="18" t="s">
        <v>338</v>
      </c>
      <c r="C94" s="18"/>
      <c r="D94" s="31" t="s">
        <v>377</v>
      </c>
      <c r="E94" s="7" t="s">
        <v>378</v>
      </c>
      <c r="F94" s="9" t="s">
        <v>345</v>
      </c>
      <c r="G94" s="38" t="s">
        <v>379</v>
      </c>
      <c r="H94" s="22">
        <v>1</v>
      </c>
      <c r="I94" s="40" t="s">
        <v>43</v>
      </c>
      <c r="J94" s="23">
        <v>45669</v>
      </c>
      <c r="K94" s="23">
        <v>46011</v>
      </c>
      <c r="L94" s="24" t="s">
        <v>55</v>
      </c>
      <c r="M94" s="50" t="s">
        <v>380</v>
      </c>
      <c r="N94" s="50"/>
      <c r="O94" s="24"/>
      <c r="P94" s="24"/>
      <c r="Q94" s="24"/>
      <c r="R94" s="24"/>
      <c r="S94" s="26" t="str">
        <f>IF(Project_Tracker[[#This Row],[Project Lead]]="", "", IFERROR(VLOOKUP(Project_Tracker[[#This Row],[Project Lead]], Setting!C:D, 2, 0), ""))</f>
        <v>reza_suryawardhana@banpuindo.co.id</v>
      </c>
      <c r="T94" s="37"/>
      <c r="U94" s="37" t="str">
        <f>Project_Tracker[[#This Row],[Project Lead]]&amp;", "&amp;Project_Tracker[[#This Row],[Team Collaboration]]</f>
        <v>RSW, BEY, AFZ</v>
      </c>
      <c r="V94" s="37"/>
      <c r="W94" s="37"/>
      <c r="X94" s="21"/>
      <c r="Y94" s="10"/>
      <c r="Z94" s="10"/>
      <c r="AC94" s="10">
        <v>2025</v>
      </c>
    </row>
    <row r="95" spans="1:29" ht="153" x14ac:dyDescent="0.3">
      <c r="A95" s="17">
        <v>68</v>
      </c>
      <c r="B95" s="18" t="s">
        <v>338</v>
      </c>
      <c r="C95" s="18"/>
      <c r="D95" s="31" t="s">
        <v>381</v>
      </c>
      <c r="E95" s="7" t="s">
        <v>382</v>
      </c>
      <c r="F95" s="9" t="s">
        <v>168</v>
      </c>
      <c r="G95" s="9" t="s">
        <v>383</v>
      </c>
      <c r="H95" s="22">
        <v>1</v>
      </c>
      <c r="I95" s="40" t="s">
        <v>43</v>
      </c>
      <c r="J95" s="23">
        <v>45663</v>
      </c>
      <c r="K95" s="23">
        <v>45835</v>
      </c>
      <c r="L95" s="24" t="s">
        <v>55</v>
      </c>
      <c r="M95" s="50" t="s">
        <v>384</v>
      </c>
      <c r="N95" s="50" t="s">
        <v>385</v>
      </c>
      <c r="O95" s="50" t="s">
        <v>386</v>
      </c>
      <c r="P95" s="24"/>
      <c r="Q95" s="24"/>
      <c r="R95" s="24"/>
      <c r="S95" s="26" t="str">
        <f>IF(Project_Tracker[[#This Row],[Project Lead]]="", "", IFERROR(VLOOKUP(Project_Tracker[[#This Row],[Project Lead]], Setting!C:D, 2, 0), ""))</f>
        <v>afrizon_afrizon@banpuindo.co.id</v>
      </c>
      <c r="T95" s="37"/>
      <c r="U95" s="37" t="str">
        <f>Project_Tracker[[#This Row],[Project Lead]]&amp;", "&amp;Project_Tracker[[#This Row],[Team Collaboration]]</f>
        <v>AFZ, RSW, BEY</v>
      </c>
      <c r="V95" s="37"/>
      <c r="W95" s="37"/>
      <c r="X95" s="21"/>
      <c r="Y95" s="10"/>
      <c r="Z95" s="10"/>
      <c r="AC95" s="10">
        <v>2025</v>
      </c>
    </row>
    <row r="96" spans="1:29" ht="51" x14ac:dyDescent="0.3">
      <c r="A96" s="17">
        <v>70</v>
      </c>
      <c r="B96" s="18" t="s">
        <v>338</v>
      </c>
      <c r="C96" s="18"/>
      <c r="D96" s="31" t="s">
        <v>387</v>
      </c>
      <c r="E96" s="7" t="s">
        <v>388</v>
      </c>
      <c r="F96" s="9" t="s">
        <v>168</v>
      </c>
      <c r="G96" s="9" t="s">
        <v>370</v>
      </c>
      <c r="H96" s="22">
        <v>0.75</v>
      </c>
      <c r="I96" s="40" t="s">
        <v>43</v>
      </c>
      <c r="J96" s="23">
        <v>45677</v>
      </c>
      <c r="K96" s="23">
        <v>45744</v>
      </c>
      <c r="L96" s="24" t="s">
        <v>7</v>
      </c>
      <c r="M96" s="50" t="s">
        <v>389</v>
      </c>
      <c r="N96" s="50" t="s">
        <v>390</v>
      </c>
      <c r="O96" s="50" t="s">
        <v>391</v>
      </c>
      <c r="P96" s="24"/>
      <c r="Q96" s="24"/>
      <c r="R96" s="24"/>
      <c r="S96" s="26" t="str">
        <f>IF(Project_Tracker[[#This Row],[Project Lead]]="", "", IFERROR(VLOOKUP(Project_Tracker[[#This Row],[Project Lead]], Setting!C:D, 2, 0), ""))</f>
        <v>afrizon_afrizon@banpuindo.co.id</v>
      </c>
      <c r="T96" s="37"/>
      <c r="U96" s="37" t="str">
        <f>Project_Tracker[[#This Row],[Project Lead]]&amp;", "&amp;Project_Tracker[[#This Row],[Team Collaboration]]</f>
        <v>AFZ, BEY, RSW</v>
      </c>
      <c r="V96" s="37"/>
      <c r="W96" s="37"/>
      <c r="X96" s="21"/>
      <c r="Y96" s="10"/>
      <c r="Z96" s="10"/>
      <c r="AC96" s="10">
        <v>2025</v>
      </c>
    </row>
    <row r="97" spans="1:29" ht="91.8" x14ac:dyDescent="0.3">
      <c r="A97" s="17">
        <v>71</v>
      </c>
      <c r="B97" s="18" t="s">
        <v>338</v>
      </c>
      <c r="C97" s="18"/>
      <c r="D97" s="31" t="s">
        <v>392</v>
      </c>
      <c r="E97" s="7" t="s">
        <v>393</v>
      </c>
      <c r="F97" s="9" t="s">
        <v>345</v>
      </c>
      <c r="G97" s="9" t="s">
        <v>379</v>
      </c>
      <c r="H97" s="22">
        <v>0.8</v>
      </c>
      <c r="I97" s="40" t="s">
        <v>43</v>
      </c>
      <c r="J97" s="23">
        <v>45760</v>
      </c>
      <c r="K97" s="23">
        <v>46010</v>
      </c>
      <c r="L97" s="24" t="s">
        <v>7</v>
      </c>
      <c r="M97" s="50" t="s">
        <v>394</v>
      </c>
      <c r="N97" s="50" t="s">
        <v>395</v>
      </c>
      <c r="O97" s="24"/>
      <c r="P97" s="24"/>
      <c r="Q97" s="24"/>
      <c r="R97" s="24"/>
      <c r="S97" s="26" t="str">
        <f>IF(Project_Tracker[[#This Row],[Project Lead]]="", "", IFERROR(VLOOKUP(Project_Tracker[[#This Row],[Project Lead]], Setting!C:D, 2, 0), ""))</f>
        <v>reza_suryawardhana@banpuindo.co.id</v>
      </c>
      <c r="T97" s="37"/>
      <c r="U97" s="37" t="str">
        <f>Project_Tracker[[#This Row],[Project Lead]]&amp;", "&amp;Project_Tracker[[#This Row],[Team Collaboration]]</f>
        <v>RSW, BEY, AFZ</v>
      </c>
      <c r="V97" s="37"/>
      <c r="W97" s="37"/>
      <c r="X97" s="21"/>
      <c r="Y97" s="10"/>
      <c r="Z97" s="10"/>
      <c r="AC97" s="10">
        <v>2025</v>
      </c>
    </row>
    <row r="98" spans="1:29" ht="193.8" x14ac:dyDescent="0.3">
      <c r="A98" s="17">
        <v>72</v>
      </c>
      <c r="B98" s="18" t="s">
        <v>338</v>
      </c>
      <c r="C98" s="18"/>
      <c r="D98" s="31" t="s">
        <v>396</v>
      </c>
      <c r="E98" s="7" t="s">
        <v>397</v>
      </c>
      <c r="F98" s="9" t="s">
        <v>168</v>
      </c>
      <c r="G98" s="9" t="s">
        <v>164</v>
      </c>
      <c r="H98" s="22">
        <v>0.8</v>
      </c>
      <c r="I98" s="40" t="s">
        <v>43</v>
      </c>
      <c r="J98" s="23">
        <v>45663</v>
      </c>
      <c r="K98" s="23">
        <v>46021</v>
      </c>
      <c r="L98" s="24" t="s">
        <v>7</v>
      </c>
      <c r="M98" s="50" t="s">
        <v>398</v>
      </c>
      <c r="N98" s="89" t="s">
        <v>399</v>
      </c>
      <c r="O98" s="50"/>
      <c r="P98" s="24"/>
      <c r="Q98" s="24"/>
      <c r="R98" s="24"/>
      <c r="S98" s="26" t="str">
        <f>IF(Project_Tracker[[#This Row],[Project Lead]]="", "", IFERROR(VLOOKUP(Project_Tracker[[#This Row],[Project Lead]], Setting!C:D, 2, 0), ""))</f>
        <v>afrizon_afrizon@banpuindo.co.id</v>
      </c>
      <c r="T98" s="37"/>
      <c r="U98" s="37" t="str">
        <f>Project_Tracker[[#This Row],[Project Lead]]&amp;", "&amp;Project_Tracker[[#This Row],[Team Collaboration]]</f>
        <v>AFZ, BEY</v>
      </c>
      <c r="V98" s="37"/>
      <c r="W98" s="37"/>
      <c r="X98" s="21"/>
      <c r="Y98" s="10"/>
      <c r="Z98" s="10"/>
      <c r="AC98" s="10">
        <v>2025</v>
      </c>
    </row>
    <row r="99" spans="1:29" ht="219" customHeight="1" x14ac:dyDescent="0.3">
      <c r="A99" s="17">
        <v>66</v>
      </c>
      <c r="B99" s="18" t="s">
        <v>338</v>
      </c>
      <c r="C99" s="18"/>
      <c r="D99" s="31" t="s">
        <v>400</v>
      </c>
      <c r="E99" s="7" t="s">
        <v>401</v>
      </c>
      <c r="F99" s="9" t="s">
        <v>164</v>
      </c>
      <c r="G99" s="9" t="s">
        <v>345</v>
      </c>
      <c r="H99" s="22">
        <v>0.9</v>
      </c>
      <c r="I99" s="40" t="s">
        <v>43</v>
      </c>
      <c r="J99" s="23"/>
      <c r="K99" s="23"/>
      <c r="L99" s="24" t="s">
        <v>7</v>
      </c>
      <c r="M99" s="18" t="s">
        <v>402</v>
      </c>
      <c r="N99" s="86" t="s">
        <v>403</v>
      </c>
      <c r="O99" s="20" t="s">
        <v>404</v>
      </c>
      <c r="P99" s="24"/>
      <c r="Q99" s="24"/>
      <c r="R99" s="24"/>
      <c r="S99" s="26" t="str">
        <f>IF(Project_Tracker[[#This Row],[Project Lead]]="", "", IFERROR(VLOOKUP(Project_Tracker[[#This Row],[Project Lead]], Setting!C:D, 2, 0), ""))</f>
        <v>bella_yolanda@banpuindo.co.id</v>
      </c>
      <c r="T99" s="37"/>
      <c r="U99" s="37" t="str">
        <f>Project_Tracker[[#This Row],[Project Lead]]&amp;", "&amp;Project_Tracker[[#This Row],[Team Collaboration]]</f>
        <v>BEY, RSW</v>
      </c>
      <c r="V99" s="37"/>
      <c r="W99" s="37"/>
      <c r="X99" s="21"/>
      <c r="Y99" s="10"/>
      <c r="Z99" s="10"/>
      <c r="AC99" s="10">
        <v>2025</v>
      </c>
    </row>
    <row r="100" spans="1:29" ht="271.5" customHeight="1" x14ac:dyDescent="0.3">
      <c r="A100" s="17">
        <v>69</v>
      </c>
      <c r="B100" s="18" t="s">
        <v>338</v>
      </c>
      <c r="C100" s="18"/>
      <c r="D100" s="31" t="s">
        <v>405</v>
      </c>
      <c r="E100" s="7" t="s">
        <v>406</v>
      </c>
      <c r="F100" s="9" t="s">
        <v>164</v>
      </c>
      <c r="G100" s="9" t="s">
        <v>352</v>
      </c>
      <c r="H100" s="22">
        <v>0.9</v>
      </c>
      <c r="I100" s="40" t="s">
        <v>43</v>
      </c>
      <c r="J100" s="23"/>
      <c r="K100" s="23"/>
      <c r="L100" s="24" t="s">
        <v>7</v>
      </c>
      <c r="M100" s="18" t="s">
        <v>407</v>
      </c>
      <c r="N100" s="18"/>
      <c r="O100" s="24"/>
      <c r="P100" s="24"/>
      <c r="Q100" s="24"/>
      <c r="R100" s="24"/>
      <c r="S100" s="26" t="str">
        <f>IF(Project_Tracker[[#This Row],[Project Lead]]="", "", IFERROR(VLOOKUP(Project_Tracker[[#This Row],[Project Lead]], Setting!C:D, 2, 0), ""))</f>
        <v>bella_yolanda@banpuindo.co.id</v>
      </c>
      <c r="T100" s="37"/>
      <c r="U100" s="37" t="str">
        <f>Project_Tracker[[#This Row],[Project Lead]]&amp;", "&amp;Project_Tracker[[#This Row],[Team Collaboration]]</f>
        <v>BEY, RSW, AFZ</v>
      </c>
      <c r="V100" s="37"/>
      <c r="W100" s="37"/>
      <c r="X100" s="21"/>
      <c r="Y100" s="10"/>
      <c r="Z100" s="10"/>
      <c r="AC100" s="10">
        <v>2025</v>
      </c>
    </row>
    <row r="101" spans="1:29" ht="91.8" x14ac:dyDescent="0.3">
      <c r="A101" s="17">
        <v>74</v>
      </c>
      <c r="B101" s="18" t="s">
        <v>338</v>
      </c>
      <c r="C101" s="7" t="s">
        <v>408</v>
      </c>
      <c r="D101" s="38" t="s">
        <v>409</v>
      </c>
      <c r="E101" s="7" t="s">
        <v>410</v>
      </c>
      <c r="F101" s="9" t="s">
        <v>345</v>
      </c>
      <c r="G101" s="9" t="s">
        <v>164</v>
      </c>
      <c r="H101" s="22">
        <v>0.8</v>
      </c>
      <c r="I101" s="40" t="s">
        <v>411</v>
      </c>
      <c r="J101" s="23">
        <v>45901</v>
      </c>
      <c r="K101" s="23">
        <v>46003</v>
      </c>
      <c r="L101" s="24" t="s">
        <v>7</v>
      </c>
      <c r="M101" s="18" t="s">
        <v>412</v>
      </c>
      <c r="N101" s="18" t="s">
        <v>413</v>
      </c>
      <c r="O101" s="24"/>
      <c r="P101" s="24"/>
      <c r="Q101" s="24"/>
      <c r="R101" s="24"/>
      <c r="S101" s="26" t="str">
        <f>IF(Project_Tracker[[#This Row],[Project Lead]]="", "", IFERROR(VLOOKUP(Project_Tracker[[#This Row],[Project Lead]], Setting!C:D, 2, 0), ""))</f>
        <v>reza_suryawardhana@banpuindo.co.id</v>
      </c>
      <c r="T101" s="37"/>
      <c r="U101" s="37" t="str">
        <f>Project_Tracker[[#This Row],[Project Lead]]&amp;", "&amp;Project_Tracker[[#This Row],[Team Collaboration]]</f>
        <v>RSW, BEY</v>
      </c>
      <c r="V101" s="37"/>
      <c r="W101" s="37"/>
      <c r="X101" s="21"/>
      <c r="Y101" s="10"/>
      <c r="Z101" s="10"/>
      <c r="AC101" s="10">
        <v>2025</v>
      </c>
    </row>
    <row r="102" spans="1:29" ht="173.4" x14ac:dyDescent="0.3">
      <c r="A102" s="17">
        <v>76</v>
      </c>
      <c r="B102" s="18" t="s">
        <v>338</v>
      </c>
      <c r="C102" s="7" t="s">
        <v>408</v>
      </c>
      <c r="D102" s="38" t="s">
        <v>414</v>
      </c>
      <c r="E102" s="7" t="s">
        <v>415</v>
      </c>
      <c r="F102" s="9" t="s">
        <v>345</v>
      </c>
      <c r="G102" s="9" t="s">
        <v>164</v>
      </c>
      <c r="H102" s="22">
        <v>1</v>
      </c>
      <c r="I102" s="40" t="s">
        <v>347</v>
      </c>
      <c r="J102" s="23">
        <v>45658</v>
      </c>
      <c r="K102" s="23">
        <v>45786</v>
      </c>
      <c r="L102" s="24" t="s">
        <v>55</v>
      </c>
      <c r="M102" s="18" t="s">
        <v>416</v>
      </c>
      <c r="N102" s="50"/>
      <c r="O102" s="24"/>
      <c r="P102" s="24"/>
      <c r="Q102" s="24"/>
      <c r="R102" s="24"/>
      <c r="S102" s="26" t="str">
        <f>IF(Project_Tracker[[#This Row],[Project Lead]]="", "", IFERROR(VLOOKUP(Project_Tracker[[#This Row],[Project Lead]], Setting!C:D, 2, 0), ""))</f>
        <v>reza_suryawardhana@banpuindo.co.id</v>
      </c>
      <c r="T102" s="37"/>
      <c r="U102" s="37" t="str">
        <f>Project_Tracker[[#This Row],[Project Lead]]&amp;", "&amp;Project_Tracker[[#This Row],[Team Collaboration]]</f>
        <v>RSW, BEY</v>
      </c>
      <c r="V102" s="37"/>
      <c r="W102" s="37"/>
      <c r="X102" s="21"/>
      <c r="Y102" s="10"/>
      <c r="Z102" s="10"/>
      <c r="AC102" s="10">
        <v>2025</v>
      </c>
    </row>
    <row r="103" spans="1:29" ht="40.799999999999997" x14ac:dyDescent="0.3">
      <c r="A103" s="17">
        <v>77</v>
      </c>
      <c r="B103" s="18" t="s">
        <v>338</v>
      </c>
      <c r="C103" s="34" t="s">
        <v>417</v>
      </c>
      <c r="D103" s="55" t="s">
        <v>418</v>
      </c>
      <c r="E103" s="34" t="s">
        <v>419</v>
      </c>
      <c r="F103" s="9" t="s">
        <v>168</v>
      </c>
      <c r="G103" s="9" t="s">
        <v>345</v>
      </c>
      <c r="H103" s="22">
        <v>1</v>
      </c>
      <c r="I103" s="45" t="s">
        <v>43</v>
      </c>
      <c r="J103" s="23"/>
      <c r="K103" s="23"/>
      <c r="L103" s="24" t="s">
        <v>55</v>
      </c>
      <c r="M103" s="89" t="s">
        <v>420</v>
      </c>
      <c r="N103" s="61"/>
      <c r="O103" s="24"/>
      <c r="P103" s="24"/>
      <c r="Q103" s="24"/>
      <c r="R103" s="24"/>
      <c r="S103" s="26" t="str">
        <f>IF(Project_Tracker[[#This Row],[Project Lead]]="", "", IFERROR(VLOOKUP(Project_Tracker[[#This Row],[Project Lead]], Setting!C:D, 2, 0), ""))</f>
        <v>afrizon_afrizon@banpuindo.co.id</v>
      </c>
      <c r="T103" s="37"/>
      <c r="U103" s="37" t="str">
        <f>Project_Tracker[[#This Row],[Project Lead]]&amp;", "&amp;Project_Tracker[[#This Row],[Team Collaboration]]</f>
        <v>AFZ, RSW</v>
      </c>
      <c r="V103" s="37"/>
      <c r="W103" s="37"/>
      <c r="X103" s="21"/>
      <c r="Y103" s="10"/>
      <c r="Z103" s="10"/>
      <c r="AC103" s="10">
        <v>2025</v>
      </c>
    </row>
    <row r="104" spans="1:29" ht="30.6" x14ac:dyDescent="0.3">
      <c r="A104" s="17">
        <v>78</v>
      </c>
      <c r="B104" s="18" t="s">
        <v>338</v>
      </c>
      <c r="C104" s="34" t="s">
        <v>417</v>
      </c>
      <c r="D104" s="55" t="s">
        <v>421</v>
      </c>
      <c r="E104" s="44" t="s">
        <v>422</v>
      </c>
      <c r="F104" s="9" t="s">
        <v>168</v>
      </c>
      <c r="G104" s="9" t="s">
        <v>345</v>
      </c>
      <c r="H104" s="22">
        <v>0</v>
      </c>
      <c r="I104" s="45" t="s">
        <v>43</v>
      </c>
      <c r="J104" s="23"/>
      <c r="K104" s="23"/>
      <c r="L104" s="24" t="s">
        <v>35</v>
      </c>
      <c r="M104" s="21"/>
      <c r="N104" s="21"/>
      <c r="O104" s="18" t="s">
        <v>423</v>
      </c>
      <c r="P104" s="24"/>
      <c r="Q104" s="24"/>
      <c r="R104" s="24"/>
      <c r="S104" s="26" t="str">
        <f>IF(Project_Tracker[[#This Row],[Project Lead]]="", "", IFERROR(VLOOKUP(Project_Tracker[[#This Row],[Project Lead]], Setting!C:D, 2, 0), ""))</f>
        <v>afrizon_afrizon@banpuindo.co.id</v>
      </c>
      <c r="T104" s="37"/>
      <c r="U104" s="37" t="str">
        <f>Project_Tracker[[#This Row],[Project Lead]]&amp;", "&amp;Project_Tracker[[#This Row],[Team Collaboration]]</f>
        <v>AFZ, RSW</v>
      </c>
      <c r="V104" s="37"/>
      <c r="W104" s="37"/>
      <c r="X104" s="21"/>
      <c r="Y104" s="10"/>
      <c r="Z104" s="10"/>
      <c r="AC104" s="10">
        <v>2025</v>
      </c>
    </row>
    <row r="105" spans="1:29" ht="40.799999999999997" x14ac:dyDescent="0.3">
      <c r="A105" s="17">
        <v>79</v>
      </c>
      <c r="B105" s="18" t="s">
        <v>338</v>
      </c>
      <c r="C105" s="34" t="s">
        <v>417</v>
      </c>
      <c r="D105" s="55" t="s">
        <v>424</v>
      </c>
      <c r="E105" s="44" t="s">
        <v>425</v>
      </c>
      <c r="F105" s="9" t="s">
        <v>168</v>
      </c>
      <c r="G105" s="9" t="s">
        <v>41</v>
      </c>
      <c r="H105" s="22">
        <v>1</v>
      </c>
      <c r="I105" s="45" t="s">
        <v>43</v>
      </c>
      <c r="J105" s="23"/>
      <c r="K105" s="23"/>
      <c r="L105" s="24" t="s">
        <v>55</v>
      </c>
      <c r="M105" s="89" t="s">
        <v>426</v>
      </c>
      <c r="N105" s="89" t="s">
        <v>427</v>
      </c>
      <c r="O105" s="21" t="s">
        <v>428</v>
      </c>
      <c r="P105" s="24"/>
      <c r="Q105" s="24"/>
      <c r="R105" s="24"/>
      <c r="S105" s="26" t="str">
        <f>IF(Project_Tracker[[#This Row],[Project Lead]]="", "", IFERROR(VLOOKUP(Project_Tracker[[#This Row],[Project Lead]], Setting!C:D, 2, 0), ""))</f>
        <v>afrizon_afrizon@banpuindo.co.id</v>
      </c>
      <c r="T105" s="37"/>
      <c r="U105" s="37" t="str">
        <f>Project_Tracker[[#This Row],[Project Lead]]&amp;", "&amp;Project_Tracker[[#This Row],[Team Collaboration]]</f>
        <v>AFZ, RRP</v>
      </c>
      <c r="V105" s="37"/>
      <c r="W105" s="37"/>
      <c r="X105" s="21"/>
      <c r="Y105" s="10"/>
      <c r="Z105" s="10"/>
      <c r="AC105" s="10">
        <v>2025</v>
      </c>
    </row>
    <row r="106" spans="1:29" ht="204" x14ac:dyDescent="0.3">
      <c r="A106" s="17">
        <v>80</v>
      </c>
      <c r="B106" s="18" t="s">
        <v>338</v>
      </c>
      <c r="C106" s="34" t="s">
        <v>417</v>
      </c>
      <c r="D106" s="55" t="s">
        <v>429</v>
      </c>
      <c r="E106" s="34" t="s">
        <v>430</v>
      </c>
      <c r="F106" s="9" t="s">
        <v>345</v>
      </c>
      <c r="G106" s="9"/>
      <c r="H106" s="22">
        <v>1</v>
      </c>
      <c r="I106" s="40"/>
      <c r="J106" s="23">
        <v>45691</v>
      </c>
      <c r="K106" s="23"/>
      <c r="L106" s="24" t="s">
        <v>55</v>
      </c>
      <c r="M106" s="50" t="s">
        <v>431</v>
      </c>
      <c r="N106" s="50"/>
      <c r="O106" s="24"/>
      <c r="P106" s="24"/>
      <c r="Q106" s="24"/>
      <c r="R106" s="24"/>
      <c r="S106" s="26" t="str">
        <f>IF(Project_Tracker[[#This Row],[Project Lead]]="", "", IFERROR(VLOOKUP(Project_Tracker[[#This Row],[Project Lead]], Setting!C:D, 2, 0), ""))</f>
        <v>reza_suryawardhana@banpuindo.co.id</v>
      </c>
      <c r="T106" s="37"/>
      <c r="U106" s="37" t="str">
        <f>Project_Tracker[[#This Row],[Project Lead]]&amp;", "&amp;Project_Tracker[[#This Row],[Team Collaboration]]</f>
        <v xml:space="preserve">RSW, </v>
      </c>
      <c r="V106" s="37"/>
      <c r="W106" s="37"/>
      <c r="X106" s="21"/>
      <c r="Y106" s="10"/>
      <c r="Z106" s="10"/>
      <c r="AC106" s="10">
        <v>2025</v>
      </c>
    </row>
    <row r="107" spans="1:29" ht="102" customHeight="1" x14ac:dyDescent="0.3">
      <c r="A107" s="17">
        <v>81</v>
      </c>
      <c r="B107" s="18" t="s">
        <v>338</v>
      </c>
      <c r="C107" s="34" t="s">
        <v>417</v>
      </c>
      <c r="D107" s="55" t="s">
        <v>432</v>
      </c>
      <c r="E107" s="34" t="s">
        <v>433</v>
      </c>
      <c r="F107" s="9" t="s">
        <v>168</v>
      </c>
      <c r="G107" s="9"/>
      <c r="H107" s="22">
        <v>1</v>
      </c>
      <c r="I107" s="45" t="s">
        <v>43</v>
      </c>
      <c r="J107" s="23"/>
      <c r="K107" s="23"/>
      <c r="L107" s="24" t="s">
        <v>55</v>
      </c>
      <c r="M107" s="50" t="s">
        <v>434</v>
      </c>
      <c r="N107" s="50" t="s">
        <v>427</v>
      </c>
      <c r="O107" s="18" t="s">
        <v>435</v>
      </c>
      <c r="P107" s="24"/>
      <c r="Q107" s="24"/>
      <c r="R107" s="24"/>
      <c r="S107" s="26" t="str">
        <f>IF(Project_Tracker[[#This Row],[Project Lead]]="", "", IFERROR(VLOOKUP(Project_Tracker[[#This Row],[Project Lead]], Setting!C:D, 2, 0), ""))</f>
        <v>afrizon_afrizon@banpuindo.co.id</v>
      </c>
      <c r="T107" s="37"/>
      <c r="U107" s="37" t="str">
        <f>Project_Tracker[[#This Row],[Project Lead]]&amp;", "&amp;Project_Tracker[[#This Row],[Team Collaboration]]</f>
        <v xml:space="preserve">AFZ, </v>
      </c>
      <c r="V107" s="37"/>
      <c r="W107" s="37"/>
      <c r="X107" s="21"/>
      <c r="Y107" s="10"/>
      <c r="Z107" s="10"/>
      <c r="AC107" s="10">
        <v>2025</v>
      </c>
    </row>
    <row r="108" spans="1:29" ht="91.8" x14ac:dyDescent="0.3">
      <c r="A108" s="17">
        <v>82</v>
      </c>
      <c r="B108" s="18" t="s">
        <v>338</v>
      </c>
      <c r="C108" s="34" t="s">
        <v>417</v>
      </c>
      <c r="D108" s="55" t="s">
        <v>436</v>
      </c>
      <c r="E108" s="34" t="s">
        <v>437</v>
      </c>
      <c r="F108" s="9" t="s">
        <v>41</v>
      </c>
      <c r="G108" s="9" t="s">
        <v>195</v>
      </c>
      <c r="H108" s="22">
        <v>0.8</v>
      </c>
      <c r="I108" s="45" t="s">
        <v>43</v>
      </c>
      <c r="J108" s="23"/>
      <c r="K108" s="23"/>
      <c r="L108" s="24" t="s">
        <v>7</v>
      </c>
      <c r="M108" s="18" t="s">
        <v>438</v>
      </c>
      <c r="N108" s="104" t="s">
        <v>439</v>
      </c>
      <c r="O108" s="24"/>
      <c r="P108" s="24"/>
      <c r="Q108" s="24"/>
      <c r="R108" s="24"/>
      <c r="S108" s="26" t="str">
        <f>IF(Project_Tracker[[#This Row],[Project Lead]]="", "", IFERROR(VLOOKUP(Project_Tracker[[#This Row],[Project Lead]], Setting!C:D, 2, 0), ""))</f>
        <v>ratih_putri@banpuindo.co.id</v>
      </c>
      <c r="T108" s="37"/>
      <c r="U108" s="37" t="str">
        <f>Project_Tracker[[#This Row],[Project Lead]]&amp;", "&amp;Project_Tracker[[#This Row],[Team Collaboration]]</f>
        <v>RRP, ALR, AFZ</v>
      </c>
      <c r="V108" s="37"/>
      <c r="W108" s="37"/>
      <c r="X108" s="21"/>
      <c r="Y108" s="10"/>
      <c r="Z108" s="10"/>
      <c r="AC108" s="10">
        <v>2025</v>
      </c>
    </row>
    <row r="109" spans="1:29" ht="142.5" customHeight="1" x14ac:dyDescent="0.3">
      <c r="A109" s="17">
        <v>83</v>
      </c>
      <c r="B109" s="18" t="s">
        <v>338</v>
      </c>
      <c r="C109" s="34" t="s">
        <v>417</v>
      </c>
      <c r="D109" s="55" t="s">
        <v>440</v>
      </c>
      <c r="E109" s="34" t="s">
        <v>441</v>
      </c>
      <c r="F109" s="9" t="s">
        <v>345</v>
      </c>
      <c r="G109" s="9"/>
      <c r="H109" s="22">
        <v>0.8</v>
      </c>
      <c r="I109" s="40" t="s">
        <v>347</v>
      </c>
      <c r="J109" s="23"/>
      <c r="K109" s="23"/>
      <c r="L109" s="24" t="s">
        <v>7</v>
      </c>
      <c r="M109" s="18" t="s">
        <v>442</v>
      </c>
      <c r="N109" s="18" t="s">
        <v>443</v>
      </c>
      <c r="O109" s="24"/>
      <c r="P109" s="24"/>
      <c r="Q109" s="24"/>
      <c r="R109" s="24"/>
      <c r="S109" s="26" t="str">
        <f>IF(Project_Tracker[[#This Row],[Project Lead]]="", "", IFERROR(VLOOKUP(Project_Tracker[[#This Row],[Project Lead]], Setting!C:D, 2, 0), ""))</f>
        <v>reza_suryawardhana@banpuindo.co.id</v>
      </c>
      <c r="T109" s="37"/>
      <c r="U109" s="37" t="str">
        <f>Project_Tracker[[#This Row],[Project Lead]]&amp;", "&amp;Project_Tracker[[#This Row],[Team Collaboration]]</f>
        <v xml:space="preserve">RSW, </v>
      </c>
      <c r="V109" s="37"/>
      <c r="W109" s="37"/>
      <c r="X109" s="21"/>
      <c r="Y109" s="10"/>
      <c r="Z109" s="10"/>
      <c r="AC109" s="10">
        <v>2025</v>
      </c>
    </row>
    <row r="110" spans="1:29" ht="91.8" x14ac:dyDescent="0.3">
      <c r="A110" s="17">
        <v>73</v>
      </c>
      <c r="B110" s="18" t="s">
        <v>338</v>
      </c>
      <c r="C110" s="18"/>
      <c r="D110" s="31" t="s">
        <v>444</v>
      </c>
      <c r="E110" s="7" t="s">
        <v>445</v>
      </c>
      <c r="F110" s="9" t="s">
        <v>164</v>
      </c>
      <c r="G110" s="9" t="s">
        <v>352</v>
      </c>
      <c r="H110" s="22">
        <v>0.9</v>
      </c>
      <c r="I110" s="40" t="s">
        <v>446</v>
      </c>
      <c r="J110" s="23"/>
      <c r="K110" s="23"/>
      <c r="L110" s="24" t="s">
        <v>35</v>
      </c>
      <c r="M110" s="18" t="s">
        <v>447</v>
      </c>
      <c r="N110" s="57" t="s">
        <v>448</v>
      </c>
      <c r="O110" s="24"/>
      <c r="P110" s="24"/>
      <c r="Q110" s="24"/>
      <c r="R110" s="24"/>
      <c r="S110" s="26" t="str">
        <f>IF(Project_Tracker[[#This Row],[Project Lead]]="", "", IFERROR(VLOOKUP(Project_Tracker[[#This Row],[Project Lead]], Setting!C:D, 2, 0), ""))</f>
        <v>bella_yolanda@banpuindo.co.id</v>
      </c>
      <c r="T110" s="37"/>
      <c r="U110" s="37" t="str">
        <f>Project_Tracker[[#This Row],[Project Lead]]&amp;", "&amp;Project_Tracker[[#This Row],[Team Collaboration]]</f>
        <v>BEY, RSW, AFZ</v>
      </c>
      <c r="V110" s="37"/>
      <c r="W110" s="37"/>
      <c r="X110" s="21"/>
      <c r="Y110" s="10"/>
      <c r="Z110" s="10"/>
      <c r="AC110" s="10">
        <v>2025</v>
      </c>
    </row>
    <row r="111" spans="1:29" ht="92.4" customHeight="1" x14ac:dyDescent="0.3">
      <c r="A111" s="17">
        <v>75</v>
      </c>
      <c r="B111" s="18" t="s">
        <v>338</v>
      </c>
      <c r="C111" s="7" t="s">
        <v>408</v>
      </c>
      <c r="D111" s="38" t="s">
        <v>449</v>
      </c>
      <c r="E111" s="7" t="s">
        <v>450</v>
      </c>
      <c r="F111" s="9" t="s">
        <v>164</v>
      </c>
      <c r="G111" s="9" t="s">
        <v>168</v>
      </c>
      <c r="H111" s="22">
        <v>1</v>
      </c>
      <c r="I111" s="40" t="s">
        <v>411</v>
      </c>
      <c r="J111" s="23"/>
      <c r="K111" s="23"/>
      <c r="L111" s="24" t="s">
        <v>55</v>
      </c>
      <c r="M111" s="18" t="s">
        <v>451</v>
      </c>
      <c r="N111" s="18" t="s">
        <v>452</v>
      </c>
      <c r="O111" s="24"/>
      <c r="P111" s="24"/>
      <c r="Q111" s="24"/>
      <c r="R111" s="24"/>
      <c r="S111" s="26" t="str">
        <f>IF(Project_Tracker[[#This Row],[Project Lead]]="", "", IFERROR(VLOOKUP(Project_Tracker[[#This Row],[Project Lead]], Setting!C:D, 2, 0), ""))</f>
        <v>bella_yolanda@banpuindo.co.id</v>
      </c>
      <c r="T111" s="37"/>
      <c r="U111" s="37" t="str">
        <f>Project_Tracker[[#This Row],[Project Lead]]&amp;", "&amp;Project_Tracker[[#This Row],[Team Collaboration]]</f>
        <v>BEY, AFZ</v>
      </c>
      <c r="V111" s="37"/>
      <c r="W111" s="37"/>
      <c r="X111" s="21"/>
      <c r="Y111" s="10"/>
      <c r="Z111" s="10"/>
      <c r="AC111" s="10">
        <v>2025</v>
      </c>
    </row>
    <row r="112" spans="1:29" ht="148.5" customHeight="1" x14ac:dyDescent="0.3">
      <c r="A112" s="17">
        <v>84</v>
      </c>
      <c r="B112" s="18" t="s">
        <v>338</v>
      </c>
      <c r="C112" s="34" t="s">
        <v>417</v>
      </c>
      <c r="D112" s="55" t="s">
        <v>453</v>
      </c>
      <c r="E112" s="34" t="s">
        <v>454</v>
      </c>
      <c r="F112" s="9" t="s">
        <v>164</v>
      </c>
      <c r="G112" s="9" t="s">
        <v>345</v>
      </c>
      <c r="H112" s="22">
        <v>1</v>
      </c>
      <c r="I112" s="45" t="s">
        <v>411</v>
      </c>
      <c r="J112" s="23"/>
      <c r="K112" s="23"/>
      <c r="L112" s="24" t="s">
        <v>55</v>
      </c>
      <c r="M112" s="18" t="s">
        <v>455</v>
      </c>
      <c r="N112" s="18" t="s">
        <v>456</v>
      </c>
      <c r="O112" s="20" t="s">
        <v>457</v>
      </c>
      <c r="P112" s="24"/>
      <c r="Q112" s="24"/>
      <c r="R112" s="24"/>
      <c r="S112" s="26" t="str">
        <f>IF(Project_Tracker[[#This Row],[Project Lead]]="", "", IFERROR(VLOOKUP(Project_Tracker[[#This Row],[Project Lead]], Setting!C:D, 2, 0), ""))</f>
        <v>bella_yolanda@banpuindo.co.id</v>
      </c>
      <c r="T112" s="37"/>
      <c r="U112" s="37" t="str">
        <f>Project_Tracker[[#This Row],[Project Lead]]&amp;", "&amp;Project_Tracker[[#This Row],[Team Collaboration]]</f>
        <v>BEY, RSW</v>
      </c>
      <c r="V112" s="37"/>
      <c r="W112" s="37"/>
      <c r="X112" s="21"/>
      <c r="Y112" s="10"/>
      <c r="Z112" s="10"/>
      <c r="AC112" s="10">
        <v>2025</v>
      </c>
    </row>
    <row r="113" spans="1:29" ht="193.8" x14ac:dyDescent="0.3">
      <c r="A113" s="17">
        <v>85</v>
      </c>
      <c r="B113" s="18" t="s">
        <v>338</v>
      </c>
      <c r="C113" s="34" t="s">
        <v>417</v>
      </c>
      <c r="D113" s="55" t="s">
        <v>458</v>
      </c>
      <c r="E113" s="34" t="s">
        <v>459</v>
      </c>
      <c r="F113" s="9" t="s">
        <v>345</v>
      </c>
      <c r="G113" s="9"/>
      <c r="H113" s="22">
        <v>0.5</v>
      </c>
      <c r="I113" s="40" t="s">
        <v>43</v>
      </c>
      <c r="J113" s="23">
        <v>45670</v>
      </c>
      <c r="K113" s="23">
        <v>45838</v>
      </c>
      <c r="L113" s="24" t="s">
        <v>7</v>
      </c>
      <c r="M113" s="50" t="s">
        <v>460</v>
      </c>
      <c r="N113" s="50" t="s">
        <v>461</v>
      </c>
      <c r="O113" s="24"/>
      <c r="P113" s="24"/>
      <c r="Q113" s="24"/>
      <c r="R113" s="24"/>
      <c r="S113" s="26" t="str">
        <f>IF(Project_Tracker[[#This Row],[Project Lead]]="", "", IFERROR(VLOOKUP(Project_Tracker[[#This Row],[Project Lead]], Setting!C:D, 2, 0), ""))</f>
        <v>reza_suryawardhana@banpuindo.co.id</v>
      </c>
      <c r="T113" s="37"/>
      <c r="U113" s="37" t="str">
        <f>Project_Tracker[[#This Row],[Project Lead]]&amp;", "&amp;Project_Tracker[[#This Row],[Team Collaboration]]</f>
        <v xml:space="preserve">RSW, </v>
      </c>
      <c r="V113" s="37"/>
      <c r="W113" s="37"/>
      <c r="X113" s="21"/>
      <c r="Y113" s="10"/>
      <c r="Z113" s="10"/>
      <c r="AC113" s="10">
        <v>2025</v>
      </c>
    </row>
    <row r="114" spans="1:29" ht="20.399999999999999" x14ac:dyDescent="0.3">
      <c r="A114" s="17">
        <v>86</v>
      </c>
      <c r="B114" s="18" t="s">
        <v>338</v>
      </c>
      <c r="C114" s="18"/>
      <c r="D114" s="31" t="s">
        <v>462</v>
      </c>
      <c r="E114" s="7" t="s">
        <v>463</v>
      </c>
      <c r="F114" s="9" t="s">
        <v>168</v>
      </c>
      <c r="G114" s="9" t="s">
        <v>345</v>
      </c>
      <c r="H114" s="22">
        <v>0.75</v>
      </c>
      <c r="I114" s="40" t="s">
        <v>43</v>
      </c>
      <c r="J114" s="23">
        <v>45838</v>
      </c>
      <c r="K114" s="23">
        <v>45961</v>
      </c>
      <c r="L114" s="24" t="s">
        <v>7</v>
      </c>
      <c r="M114" s="50" t="s">
        <v>464</v>
      </c>
      <c r="N114" s="21"/>
      <c r="O114" s="18" t="s">
        <v>465</v>
      </c>
      <c r="P114" s="24"/>
      <c r="Q114" s="24"/>
      <c r="R114" s="24"/>
      <c r="S114" s="26" t="str">
        <f>IF(Project_Tracker[[#This Row],[Project Lead]]="", "", IFERROR(VLOOKUP(Project_Tracker[[#This Row],[Project Lead]], Setting!C:D, 2, 0), ""))</f>
        <v>afrizon_afrizon@banpuindo.co.id</v>
      </c>
      <c r="T114" s="37"/>
      <c r="U114" s="37" t="str">
        <f>Project_Tracker[[#This Row],[Project Lead]]&amp;", "&amp;Project_Tracker[[#This Row],[Team Collaboration]]</f>
        <v>AFZ, RSW</v>
      </c>
      <c r="V114" s="37"/>
      <c r="W114" s="37"/>
      <c r="X114" s="21"/>
      <c r="Y114" s="10"/>
      <c r="Z114" s="10"/>
      <c r="AC114" s="10">
        <v>2025</v>
      </c>
    </row>
    <row r="115" spans="1:29" ht="163.19999999999999" x14ac:dyDescent="0.3">
      <c r="A115" s="17"/>
      <c r="B115" s="18" t="s">
        <v>338</v>
      </c>
      <c r="C115" s="18" t="s">
        <v>417</v>
      </c>
      <c r="D115" s="100" t="s">
        <v>466</v>
      </c>
      <c r="E115" s="7" t="s">
        <v>467</v>
      </c>
      <c r="F115" s="9" t="s">
        <v>345</v>
      </c>
      <c r="G115" s="9"/>
      <c r="H115" s="22">
        <v>1</v>
      </c>
      <c r="I115" s="40" t="s">
        <v>43</v>
      </c>
      <c r="J115" s="23">
        <v>45868</v>
      </c>
      <c r="K115" s="23">
        <v>45961</v>
      </c>
      <c r="L115" s="24" t="s">
        <v>55</v>
      </c>
      <c r="M115" s="18" t="s">
        <v>468</v>
      </c>
      <c r="N115" s="18" t="s">
        <v>469</v>
      </c>
      <c r="O115" s="24"/>
      <c r="P115" s="24"/>
      <c r="Q115" s="24"/>
      <c r="R115" s="24"/>
      <c r="S115" s="26" t="str">
        <f>IF(Project_Tracker[[#This Row],[Project Lead]]="", "", IFERROR(VLOOKUP(Project_Tracker[[#This Row],[Project Lead]], Setting!C:D, 2, 0), ""))</f>
        <v>reza_suryawardhana@banpuindo.co.id</v>
      </c>
      <c r="T115" s="37"/>
      <c r="U115" s="37" t="str">
        <f>Project_Tracker[[#This Row],[Project Lead]]&amp;", "&amp;Project_Tracker[[#This Row],[Team Collaboration]]</f>
        <v xml:space="preserve">RSW, </v>
      </c>
      <c r="V115" s="37"/>
      <c r="W115" s="37"/>
      <c r="X115" s="21"/>
      <c r="Y115" s="10"/>
      <c r="Z115" s="10"/>
      <c r="AC115" s="10">
        <v>2025</v>
      </c>
    </row>
    <row r="116" spans="1:29" ht="12" customHeight="1" x14ac:dyDescent="0.3">
      <c r="A116" s="17">
        <v>87</v>
      </c>
      <c r="B116" s="18" t="s">
        <v>84</v>
      </c>
      <c r="C116" s="18" t="s">
        <v>84</v>
      </c>
      <c r="D116" s="31" t="s">
        <v>470</v>
      </c>
      <c r="E116" s="7" t="s">
        <v>471</v>
      </c>
      <c r="F116" s="9" t="s">
        <v>85</v>
      </c>
      <c r="G116" s="9" t="s">
        <v>236</v>
      </c>
      <c r="H116" s="22">
        <v>0.6</v>
      </c>
      <c r="I116" s="40" t="s">
        <v>43</v>
      </c>
      <c r="J116" s="23"/>
      <c r="K116" s="23"/>
      <c r="L116" s="24" t="s">
        <v>7</v>
      </c>
      <c r="M116" s="24"/>
      <c r="N116" s="24"/>
      <c r="O116" s="24"/>
      <c r="P116" s="24"/>
      <c r="Q116" s="24"/>
      <c r="R116" s="24"/>
      <c r="S116" s="26" t="str">
        <f>IF(Project_Tracker[[#This Row],[Project Lead]]="", "", IFERROR(VLOOKUP(Project_Tracker[[#This Row],[Project Lead]], Setting!C:D, 2, 0), ""))</f>
        <v>andri_s@banpuindo.co.id</v>
      </c>
      <c r="T116" s="37"/>
      <c r="U116" s="37" t="str">
        <f>Project_Tracker[[#This Row],[Project Lead]]&amp;", "&amp;Project_Tracker[[#This Row],[Team Collaboration]]</f>
        <v>ASN, RRP, DHI</v>
      </c>
      <c r="V116" s="37"/>
      <c r="W116" s="37"/>
      <c r="X116" s="21"/>
      <c r="Y116" s="10"/>
      <c r="Z116" s="10"/>
      <c r="AC116" s="10">
        <v>2025</v>
      </c>
    </row>
    <row r="117" spans="1:29" ht="10.199999999999999" x14ac:dyDescent="0.3">
      <c r="A117" s="71"/>
      <c r="B117" s="72" t="s">
        <v>472</v>
      </c>
      <c r="C117" s="73" t="s">
        <v>473</v>
      </c>
      <c r="D117" s="53" t="s">
        <v>474</v>
      </c>
      <c r="E117" s="73" t="s">
        <v>475</v>
      </c>
      <c r="F117" s="74" t="s">
        <v>41</v>
      </c>
      <c r="G117" s="75" t="s">
        <v>85</v>
      </c>
      <c r="H117" s="22">
        <v>1</v>
      </c>
      <c r="I117" s="76"/>
      <c r="J117" s="76"/>
      <c r="K117" s="76"/>
      <c r="L117" s="24" t="s">
        <v>55</v>
      </c>
      <c r="M117" s="72" t="s">
        <v>476</v>
      </c>
      <c r="N117" s="77"/>
      <c r="O117" s="77"/>
      <c r="P117" s="77"/>
      <c r="Q117" s="77"/>
      <c r="R117" s="77"/>
      <c r="S117" s="78" t="str">
        <f>IF(Project_Tracker[[#This Row],[Project Lead]]="", "", IFERROR(VLOOKUP(Project_Tracker[[#This Row],[Project Lead]], Setting!C:D, 2, 0), ""))</f>
        <v>ratih_putri@banpuindo.co.id</v>
      </c>
      <c r="T117" s="79"/>
      <c r="U117" s="80" t="str">
        <f>Project_Tracker[[#This Row],[Project Lead]]&amp;", "&amp;Project_Tracker[[#This Row],[Team Collaboration]]</f>
        <v>RRP, ASN</v>
      </c>
      <c r="V117" s="80"/>
      <c r="W117" s="80"/>
      <c r="X117" s="81"/>
      <c r="Y117" s="10"/>
      <c r="Z117" s="10"/>
      <c r="AC117" s="10">
        <v>2025</v>
      </c>
    </row>
    <row r="118" spans="1:29" ht="20.399999999999999" x14ac:dyDescent="0.3">
      <c r="A118" s="71"/>
      <c r="B118" s="72" t="s">
        <v>472</v>
      </c>
      <c r="C118" s="73" t="s">
        <v>473</v>
      </c>
      <c r="D118" s="53" t="s">
        <v>477</v>
      </c>
      <c r="E118" s="73" t="s">
        <v>478</v>
      </c>
      <c r="F118" s="74" t="s">
        <v>41</v>
      </c>
      <c r="G118" s="75" t="s">
        <v>85</v>
      </c>
      <c r="H118" s="84">
        <v>1</v>
      </c>
      <c r="I118" s="76"/>
      <c r="J118" s="76"/>
      <c r="K118" s="76"/>
      <c r="L118" s="24" t="s">
        <v>55</v>
      </c>
      <c r="M118" s="72" t="s">
        <v>479</v>
      </c>
      <c r="N118" s="75"/>
      <c r="O118" s="77"/>
      <c r="P118" s="77"/>
      <c r="Q118" s="77"/>
      <c r="R118" s="77"/>
      <c r="S118" s="78" t="str">
        <f>IF(Project_Tracker[[#This Row],[Project Lead]]="", "", IFERROR(VLOOKUP(Project_Tracker[[#This Row],[Project Lead]], Setting!C:D, 2, 0), ""))</f>
        <v>ratih_putri@banpuindo.co.id</v>
      </c>
      <c r="T118" s="79"/>
      <c r="U118" s="80" t="str">
        <f>Project_Tracker[[#This Row],[Project Lead]]&amp;", "&amp;Project_Tracker[[#This Row],[Team Collaboration]]</f>
        <v>RRP, ASN</v>
      </c>
      <c r="V118" s="80"/>
      <c r="W118" s="80"/>
      <c r="X118" s="81"/>
      <c r="Y118" s="10"/>
      <c r="Z118" s="10"/>
      <c r="AC118" s="10">
        <v>2025</v>
      </c>
    </row>
    <row r="119" spans="1:29" ht="102" x14ac:dyDescent="0.3">
      <c r="A119" s="71"/>
      <c r="B119" s="72" t="s">
        <v>472</v>
      </c>
      <c r="C119" s="73" t="s">
        <v>473</v>
      </c>
      <c r="D119" s="53" t="s">
        <v>480</v>
      </c>
      <c r="E119" s="73" t="s">
        <v>481</v>
      </c>
      <c r="F119" s="74" t="s">
        <v>41</v>
      </c>
      <c r="G119" s="75" t="s">
        <v>33</v>
      </c>
      <c r="H119" s="22">
        <v>0.4</v>
      </c>
      <c r="I119" s="76"/>
      <c r="J119" s="76"/>
      <c r="K119" s="76"/>
      <c r="L119" s="24" t="s">
        <v>7</v>
      </c>
      <c r="M119" s="72" t="s">
        <v>482</v>
      </c>
      <c r="N119" s="77"/>
      <c r="O119" s="77"/>
      <c r="P119" s="77"/>
      <c r="Q119" s="77"/>
      <c r="R119" s="77"/>
      <c r="S119" s="78" t="str">
        <f>IF(Project_Tracker[[#This Row],[Project Lead]]="", "", IFERROR(VLOOKUP(Project_Tracker[[#This Row],[Project Lead]], Setting!C:D, 2, 0), ""))</f>
        <v>ratih_putri@banpuindo.co.id</v>
      </c>
      <c r="T119" s="79"/>
      <c r="U119" s="80" t="str">
        <f>Project_Tracker[[#This Row],[Project Lead]]&amp;", "&amp;Project_Tracker[[#This Row],[Team Collaboration]]</f>
        <v>RRP, ALR</v>
      </c>
      <c r="V119" s="80"/>
      <c r="W119" s="80"/>
      <c r="X119" s="81"/>
      <c r="Y119" s="10"/>
      <c r="Z119" s="10"/>
      <c r="AC119" s="10">
        <v>2025</v>
      </c>
    </row>
    <row r="120" spans="1:29" ht="61.2" x14ac:dyDescent="0.3">
      <c r="A120" s="71"/>
      <c r="B120" s="18" t="s">
        <v>29</v>
      </c>
      <c r="C120" s="107" t="s">
        <v>483</v>
      </c>
      <c r="D120" s="53" t="s">
        <v>484</v>
      </c>
      <c r="E120" s="107" t="s">
        <v>483</v>
      </c>
      <c r="F120" s="9" t="s">
        <v>70</v>
      </c>
      <c r="G120" s="9" t="s">
        <v>48</v>
      </c>
      <c r="H120" s="22">
        <v>1</v>
      </c>
      <c r="I120" s="76"/>
      <c r="J120" s="76"/>
      <c r="K120" s="76"/>
      <c r="L120" s="24" t="s">
        <v>55</v>
      </c>
      <c r="M120" s="111" t="s">
        <v>485</v>
      </c>
      <c r="N120" s="111" t="s">
        <v>486</v>
      </c>
      <c r="O120" s="77"/>
      <c r="P120" s="77"/>
      <c r="Q120" s="77"/>
      <c r="R120" s="77"/>
      <c r="S120" s="78" t="str">
        <f>IF(Project_Tracker[[#This Row],[Project Lead]]="", "", IFERROR(VLOOKUP(Project_Tracker[[#This Row],[Project Lead]], Setting!C:D, 2, 0), ""))</f>
        <v>dhany_indraswara@banpuindo.co.id</v>
      </c>
      <c r="T120" s="79"/>
      <c r="U120" s="80" t="str">
        <f>Project_Tracker[[#This Row],[Project Lead]]&amp;", "&amp;Project_Tracker[[#This Row],[Team Collaboration]]</f>
        <v>DHI, ARS</v>
      </c>
      <c r="V120" s="80"/>
      <c r="W120" s="80"/>
      <c r="X120" s="81"/>
      <c r="Y120" s="10"/>
      <c r="Z120" s="10"/>
      <c r="AC120" s="10">
        <v>2025</v>
      </c>
    </row>
    <row r="121" spans="1:29" ht="71.400000000000006" x14ac:dyDescent="0.3">
      <c r="A121" s="71"/>
      <c r="B121" s="72" t="s">
        <v>338</v>
      </c>
      <c r="C121" s="108" t="s">
        <v>417</v>
      </c>
      <c r="D121" s="53" t="s">
        <v>458</v>
      </c>
      <c r="E121" s="107" t="s">
        <v>487</v>
      </c>
      <c r="F121" s="74" t="s">
        <v>345</v>
      </c>
      <c r="G121" s="74"/>
      <c r="H121" s="109">
        <v>0.2</v>
      </c>
      <c r="I121" s="110" t="s">
        <v>43</v>
      </c>
      <c r="J121" s="76">
        <v>45992</v>
      </c>
      <c r="K121" s="76">
        <v>46142</v>
      </c>
      <c r="L121" s="77" t="s">
        <v>7</v>
      </c>
      <c r="M121" s="72" t="s">
        <v>488</v>
      </c>
      <c r="N121" s="111" t="s">
        <v>489</v>
      </c>
      <c r="O121" s="77"/>
      <c r="P121" s="77"/>
      <c r="Q121" s="77"/>
      <c r="R121" s="77"/>
      <c r="S121" s="78" t="str">
        <f>IF(Project_Tracker[[#This Row],[Project Lead]]="", "", IFERROR(VLOOKUP(Project_Tracker[[#This Row],[Project Lead]], Setting!C:D, 2, 0), ""))</f>
        <v>reza_suryawardhana@banpuindo.co.id</v>
      </c>
      <c r="T121" s="79"/>
      <c r="U121" s="80" t="str">
        <f>Project_Tracker[[#This Row],[Project Lead]]&amp;", "&amp;Project_Tracker[[#This Row],[Team Collaboration]]</f>
        <v xml:space="preserve">RSW, </v>
      </c>
      <c r="V121" s="80"/>
      <c r="W121" s="80"/>
      <c r="X121" s="81"/>
      <c r="Y121" s="10"/>
      <c r="Z121" s="10"/>
      <c r="AC121" s="10">
        <v>2025</v>
      </c>
    </row>
    <row r="122" spans="1:29" ht="112.2" x14ac:dyDescent="0.3">
      <c r="A122" s="71"/>
      <c r="B122" s="72" t="s">
        <v>338</v>
      </c>
      <c r="C122" s="108"/>
      <c r="D122" s="53"/>
      <c r="E122" s="107" t="s">
        <v>490</v>
      </c>
      <c r="F122" s="74" t="s">
        <v>345</v>
      </c>
      <c r="G122" s="74"/>
      <c r="H122" s="109">
        <v>1</v>
      </c>
      <c r="I122" s="110" t="s">
        <v>43</v>
      </c>
      <c r="J122" s="76">
        <v>45870</v>
      </c>
      <c r="K122" s="76">
        <v>45930</v>
      </c>
      <c r="L122" s="77" t="s">
        <v>55</v>
      </c>
      <c r="M122" s="72" t="s">
        <v>491</v>
      </c>
      <c r="N122" s="111"/>
      <c r="O122" s="77"/>
      <c r="P122" s="77"/>
      <c r="Q122" s="77"/>
      <c r="R122" s="77"/>
      <c r="S122" s="78" t="str">
        <f>IF(Project_Tracker[[#This Row],[Project Lead]]="", "", IFERROR(VLOOKUP(Project_Tracker[[#This Row],[Project Lead]], Setting!C:D, 2, 0), ""))</f>
        <v>reza_suryawardhana@banpuindo.co.id</v>
      </c>
      <c r="T122" s="79"/>
      <c r="U122" s="80" t="str">
        <f>Project_Tracker[[#This Row],[Project Lead]]&amp;", "&amp;Project_Tracker[[#This Row],[Team Collaboration]]</f>
        <v xml:space="preserve">RSW, </v>
      </c>
      <c r="V122" s="80"/>
      <c r="W122" s="80"/>
      <c r="X122" s="81"/>
      <c r="Y122" s="10"/>
      <c r="Z122" s="10"/>
      <c r="AC122" s="10">
        <v>2025</v>
      </c>
    </row>
    <row r="123" spans="1:29" ht="61.2" x14ac:dyDescent="0.3">
      <c r="A123" s="71"/>
      <c r="B123" s="72" t="s">
        <v>338</v>
      </c>
      <c r="C123" s="108"/>
      <c r="D123" s="53"/>
      <c r="E123" s="107" t="s">
        <v>492</v>
      </c>
      <c r="F123" s="74" t="s">
        <v>345</v>
      </c>
      <c r="G123" s="74"/>
      <c r="H123" s="109">
        <v>1</v>
      </c>
      <c r="I123" s="40" t="s">
        <v>411</v>
      </c>
      <c r="J123" s="76">
        <v>45915</v>
      </c>
      <c r="K123" s="76">
        <v>45960</v>
      </c>
      <c r="L123" s="77" t="s">
        <v>55</v>
      </c>
      <c r="M123" s="72" t="s">
        <v>493</v>
      </c>
      <c r="N123" s="111"/>
      <c r="O123" s="77"/>
      <c r="P123" s="77"/>
      <c r="Q123" s="77"/>
      <c r="R123" s="77"/>
      <c r="S123" s="78" t="str">
        <f>IF(Project_Tracker[[#This Row],[Project Lead]]="", "", IFERROR(VLOOKUP(Project_Tracker[[#This Row],[Project Lead]], Setting!C:D, 2, 0), ""))</f>
        <v>reza_suryawardhana@banpuindo.co.id</v>
      </c>
      <c r="T123" s="79"/>
      <c r="U123" s="80" t="str">
        <f>Project_Tracker[[#This Row],[Project Lead]]&amp;", "&amp;Project_Tracker[[#This Row],[Team Collaboration]]</f>
        <v xml:space="preserve">RSW, </v>
      </c>
      <c r="V123" s="80"/>
      <c r="W123" s="80"/>
      <c r="X123" s="81"/>
      <c r="Y123" s="10"/>
      <c r="Z123" s="10"/>
      <c r="AC123" s="10">
        <v>2025</v>
      </c>
    </row>
    <row r="124" spans="1:29" ht="28.5" customHeight="1" x14ac:dyDescent="0.3">
      <c r="A124" s="71"/>
      <c r="B124" s="72" t="s">
        <v>472</v>
      </c>
      <c r="C124" s="73" t="s">
        <v>473</v>
      </c>
      <c r="D124" s="53" t="s">
        <v>494</v>
      </c>
      <c r="E124" s="112" t="s">
        <v>495</v>
      </c>
      <c r="F124" s="74" t="s">
        <v>70</v>
      </c>
      <c r="G124" s="75" t="s">
        <v>41</v>
      </c>
      <c r="H124" s="22">
        <v>1</v>
      </c>
      <c r="I124" s="76"/>
      <c r="J124" s="76"/>
      <c r="K124" s="76"/>
      <c r="L124" s="24" t="s">
        <v>55</v>
      </c>
      <c r="M124" s="77"/>
      <c r="N124" s="115" t="s">
        <v>496</v>
      </c>
      <c r="O124" s="77"/>
      <c r="P124" s="77"/>
      <c r="Q124" s="77"/>
      <c r="R124" s="77"/>
      <c r="S124" s="78" t="str">
        <f>IF(Project_Tracker[[#This Row],[Project Lead]]="", "", IFERROR(VLOOKUP(Project_Tracker[[#This Row],[Project Lead]], Setting!C:D, 2, 0), ""))</f>
        <v>dhany_indraswara@banpuindo.co.id</v>
      </c>
      <c r="T124" s="79"/>
      <c r="U124" s="80" t="str">
        <f>Project_Tracker[[#This Row],[Project Lead]]&amp;", "&amp;Project_Tracker[[#This Row],[Team Collaboration]]</f>
        <v>DHI, RRP</v>
      </c>
      <c r="V124" s="80"/>
      <c r="W124" s="80"/>
      <c r="X124" s="81"/>
      <c r="Y124" s="10"/>
      <c r="Z124" s="10"/>
      <c r="AC124" s="10">
        <v>2025</v>
      </c>
    </row>
    <row r="125" spans="1:29" ht="28.8" x14ac:dyDescent="0.3">
      <c r="A125" s="17"/>
      <c r="B125" s="18" t="s">
        <v>29</v>
      </c>
      <c r="C125" s="117" t="s">
        <v>497</v>
      </c>
      <c r="D125" s="55" t="s">
        <v>498</v>
      </c>
      <c r="E125" s="124" t="s">
        <v>499</v>
      </c>
      <c r="F125" s="42" t="s">
        <v>41</v>
      </c>
      <c r="G125" s="42" t="s">
        <v>500</v>
      </c>
      <c r="H125" s="22">
        <v>0.3</v>
      </c>
      <c r="I125" s="65" t="s">
        <v>411</v>
      </c>
      <c r="J125" s="23"/>
      <c r="K125" s="23"/>
      <c r="L125" s="24" t="s">
        <v>7</v>
      </c>
      <c r="M125" s="24" t="s">
        <v>501</v>
      </c>
      <c r="N125" s="24"/>
      <c r="O125" s="24"/>
      <c r="P125" s="24"/>
      <c r="Q125" s="24"/>
      <c r="R125" s="24"/>
      <c r="S125" s="46" t="str">
        <f>IF(Project_Tracker[[#This Row],[Project Lead]]="", "", IFERROR(VLOOKUP(Project_Tracker[[#This Row],[Project Lead]], Setting!C:D, 2, 0), ""))</f>
        <v>ratih_putri@banpuindo.co.id</v>
      </c>
      <c r="T125" s="47"/>
      <c r="U125" s="37" t="str">
        <f>Project_Tracker[[#This Row],[Project Lead]]&amp;", "&amp;Project_Tracker[[#This Row],[Team Collaboration]]</f>
        <v>RRP, ALR, ARS</v>
      </c>
      <c r="V125" s="37"/>
      <c r="W125" s="37"/>
      <c r="X125" s="56"/>
      <c r="Y125" s="10"/>
      <c r="Z125" s="10"/>
      <c r="AC125" s="10">
        <v>2025</v>
      </c>
    </row>
    <row r="126" spans="1:29" s="116" customFormat="1" ht="71.400000000000006" x14ac:dyDescent="0.3">
      <c r="A126" s="17">
        <v>1</v>
      </c>
      <c r="B126" s="18" t="s">
        <v>29</v>
      </c>
      <c r="C126" s="95" t="s">
        <v>502</v>
      </c>
      <c r="D126" s="55" t="s">
        <v>503</v>
      </c>
      <c r="E126" s="125" t="s">
        <v>504</v>
      </c>
      <c r="F126" s="145" t="s">
        <v>33</v>
      </c>
      <c r="G126" s="42" t="s">
        <v>505</v>
      </c>
      <c r="H126" s="135">
        <v>0.38</v>
      </c>
      <c r="I126" s="65" t="s">
        <v>43</v>
      </c>
      <c r="J126" s="23">
        <v>46030</v>
      </c>
      <c r="K126" s="23"/>
      <c r="L126" s="24" t="s">
        <v>7</v>
      </c>
      <c r="M126" s="18" t="s">
        <v>506</v>
      </c>
      <c r="N126" s="18" t="s">
        <v>507</v>
      </c>
      <c r="O126" s="24"/>
      <c r="P126" s="24"/>
      <c r="Q126" s="24"/>
      <c r="R126" s="24"/>
      <c r="S126" s="46" t="str">
        <f>IF(Project_Tracker[[#This Row],[Project Lead]]="", "", IFERROR(VLOOKUP(Project_Tracker[[#This Row],[Project Lead]], Setting!C:D, 2, 0), ""))</f>
        <v>aldy_rienaldy@banpuindo.co.id</v>
      </c>
      <c r="T126" s="47"/>
      <c r="U126" s="37" t="str">
        <f>Project_Tracker[[#This Row],[Project Lead]]&amp;", "&amp;Project_Tracker[[#This Row],[Team Collaboration]]</f>
        <v>ALR, ASN, RPR</v>
      </c>
      <c r="V126" s="37"/>
      <c r="W126" s="37"/>
      <c r="X126" s="56"/>
      <c r="Y126" s="9" t="s">
        <v>0</v>
      </c>
      <c r="Z126" s="10"/>
      <c r="AA126" s="10"/>
      <c r="AB126" s="10"/>
      <c r="AC126" s="10">
        <v>2026</v>
      </c>
    </row>
    <row r="127" spans="1:29" s="116" customFormat="1" ht="20.399999999999999" x14ac:dyDescent="0.3">
      <c r="A127" s="17">
        <v>2</v>
      </c>
      <c r="B127" s="18" t="s">
        <v>29</v>
      </c>
      <c r="C127" s="95" t="s">
        <v>502</v>
      </c>
      <c r="D127" s="55" t="s">
        <v>508</v>
      </c>
      <c r="E127" s="125" t="s">
        <v>509</v>
      </c>
      <c r="F127" s="42" t="s">
        <v>510</v>
      </c>
      <c r="G127" s="42" t="s">
        <v>511</v>
      </c>
      <c r="H127" s="135">
        <v>0</v>
      </c>
      <c r="I127" s="65" t="s">
        <v>43</v>
      </c>
      <c r="J127" s="23"/>
      <c r="K127" s="23"/>
      <c r="L127" s="24" t="s">
        <v>44</v>
      </c>
      <c r="M127" s="24"/>
      <c r="N127" s="24"/>
      <c r="O127" s="24"/>
      <c r="P127" s="24"/>
      <c r="Q127" s="24"/>
      <c r="R127" s="24"/>
      <c r="S127" s="46" t="str">
        <f>IF(Project_Tracker[[#This Row],[Project Lead]]="", "", IFERROR(VLOOKUP(Project_Tracker[[#This Row],[Project Lead]], Setting!C:D, 2, 0), ""))</f>
        <v/>
      </c>
      <c r="T127" s="47"/>
      <c r="U127" s="37" t="str">
        <f>Project_Tracker[[#This Row],[Project Lead]]&amp;", "&amp;Project_Tracker[[#This Row],[Team Collaboration]]</f>
        <v>RPR, ASN, ALR</v>
      </c>
      <c r="V127" s="37"/>
      <c r="W127" s="37"/>
      <c r="X127" s="56"/>
      <c r="Y127" s="9" t="s">
        <v>0</v>
      </c>
      <c r="Z127" s="10"/>
      <c r="AA127" s="10"/>
      <c r="AB127" s="10"/>
      <c r="AC127" s="10">
        <v>2026</v>
      </c>
    </row>
    <row r="128" spans="1:29" s="116" customFormat="1" ht="61.2" x14ac:dyDescent="0.3">
      <c r="A128" s="17">
        <v>3</v>
      </c>
      <c r="B128" s="18" t="s">
        <v>29</v>
      </c>
      <c r="C128" s="95" t="s">
        <v>502</v>
      </c>
      <c r="D128" s="55" t="s">
        <v>512</v>
      </c>
      <c r="E128" s="125" t="s">
        <v>513</v>
      </c>
      <c r="F128" s="42" t="s">
        <v>33</v>
      </c>
      <c r="G128" s="42" t="s">
        <v>505</v>
      </c>
      <c r="H128" s="135">
        <v>0.38</v>
      </c>
      <c r="I128" s="65" t="s">
        <v>43</v>
      </c>
      <c r="J128" s="23">
        <v>46030</v>
      </c>
      <c r="K128" s="23"/>
      <c r="L128" s="24" t="s">
        <v>7</v>
      </c>
      <c r="M128" s="18" t="s">
        <v>514</v>
      </c>
      <c r="N128" s="18" t="s">
        <v>515</v>
      </c>
      <c r="O128" s="24"/>
      <c r="P128" s="24"/>
      <c r="Q128" s="24"/>
      <c r="R128" s="24"/>
      <c r="S128" s="46" t="str">
        <f>IF(Project_Tracker[[#This Row],[Project Lead]]="", "", IFERROR(VLOOKUP(Project_Tracker[[#This Row],[Project Lead]], Setting!C:D, 2, 0), ""))</f>
        <v>aldy_rienaldy@banpuindo.co.id</v>
      </c>
      <c r="T128" s="47"/>
      <c r="U128" s="37" t="str">
        <f>Project_Tracker[[#This Row],[Project Lead]]&amp;", "&amp;Project_Tracker[[#This Row],[Team Collaboration]]</f>
        <v>ALR, ASN, RPR</v>
      </c>
      <c r="V128" s="37"/>
      <c r="W128" s="37"/>
      <c r="X128" s="56"/>
      <c r="Y128" s="9" t="s">
        <v>0</v>
      </c>
      <c r="Z128" s="10"/>
      <c r="AA128" s="10"/>
      <c r="AB128" s="10"/>
      <c r="AC128" s="10">
        <v>2026</v>
      </c>
    </row>
    <row r="129" spans="1:29" s="116" customFormat="1" ht="20.399999999999999" x14ac:dyDescent="0.3">
      <c r="A129" s="17">
        <v>4</v>
      </c>
      <c r="B129" s="18" t="s">
        <v>29</v>
      </c>
      <c r="C129" s="95" t="s">
        <v>502</v>
      </c>
      <c r="D129" s="55" t="s">
        <v>516</v>
      </c>
      <c r="E129" s="125" t="s">
        <v>517</v>
      </c>
      <c r="F129" s="42" t="s">
        <v>510</v>
      </c>
      <c r="G129" s="42" t="s">
        <v>511</v>
      </c>
      <c r="H129" s="135">
        <v>0</v>
      </c>
      <c r="I129" s="65" t="s">
        <v>43</v>
      </c>
      <c r="J129" s="23"/>
      <c r="K129" s="23"/>
      <c r="L129" s="24" t="s">
        <v>44</v>
      </c>
      <c r="M129" s="24"/>
      <c r="N129" s="24"/>
      <c r="O129" s="24"/>
      <c r="P129" s="24"/>
      <c r="Q129" s="24"/>
      <c r="R129" s="24"/>
      <c r="S129" s="46" t="str">
        <f>IF(Project_Tracker[[#This Row],[Project Lead]]="", "", IFERROR(VLOOKUP(Project_Tracker[[#This Row],[Project Lead]], Setting!C:D, 2, 0), ""))</f>
        <v/>
      </c>
      <c r="T129" s="47"/>
      <c r="U129" s="37" t="str">
        <f>Project_Tracker[[#This Row],[Project Lead]]&amp;", "&amp;Project_Tracker[[#This Row],[Team Collaboration]]</f>
        <v>RPR, ASN, ALR</v>
      </c>
      <c r="V129" s="37"/>
      <c r="W129" s="37"/>
      <c r="X129" s="56"/>
      <c r="Y129" s="9" t="s">
        <v>0</v>
      </c>
      <c r="Z129" s="10"/>
      <c r="AA129" s="10"/>
      <c r="AB129" s="10"/>
      <c r="AC129" s="10">
        <v>2026</v>
      </c>
    </row>
    <row r="130" spans="1:29" s="116" customFormat="1" ht="20.399999999999999" x14ac:dyDescent="0.3">
      <c r="A130" s="17">
        <v>5</v>
      </c>
      <c r="B130" s="18" t="s">
        <v>29</v>
      </c>
      <c r="C130" s="95" t="s">
        <v>502</v>
      </c>
      <c r="D130" s="55" t="s">
        <v>518</v>
      </c>
      <c r="E130" s="125" t="s">
        <v>519</v>
      </c>
      <c r="F130" s="42" t="s">
        <v>510</v>
      </c>
      <c r="G130" s="42" t="s">
        <v>511</v>
      </c>
      <c r="H130" s="135">
        <v>0</v>
      </c>
      <c r="I130" s="65" t="s">
        <v>43</v>
      </c>
      <c r="J130" s="23"/>
      <c r="K130" s="23"/>
      <c r="L130" s="24" t="s">
        <v>44</v>
      </c>
      <c r="M130" s="24"/>
      <c r="N130" s="24"/>
      <c r="O130" s="24"/>
      <c r="P130" s="24"/>
      <c r="Q130" s="24"/>
      <c r="R130" s="24"/>
      <c r="S130" s="46" t="str">
        <f>IF(Project_Tracker[[#This Row],[Project Lead]]="", "", IFERROR(VLOOKUP(Project_Tracker[[#This Row],[Project Lead]], Setting!C:D, 2, 0), ""))</f>
        <v/>
      </c>
      <c r="T130" s="47"/>
      <c r="U130" s="37" t="str">
        <f>Project_Tracker[[#This Row],[Project Lead]]&amp;", "&amp;Project_Tracker[[#This Row],[Team Collaboration]]</f>
        <v>RPR, ASN, ALR</v>
      </c>
      <c r="V130" s="37"/>
      <c r="W130" s="37"/>
      <c r="X130" s="56"/>
      <c r="Y130" s="9" t="s">
        <v>0</v>
      </c>
      <c r="Z130" s="10"/>
      <c r="AA130" s="10"/>
      <c r="AB130" s="10"/>
      <c r="AC130" s="10">
        <v>2026</v>
      </c>
    </row>
    <row r="131" spans="1:29" s="116" customFormat="1" ht="20.399999999999999" x14ac:dyDescent="0.3">
      <c r="A131" s="17">
        <v>6</v>
      </c>
      <c r="B131" s="18" t="s">
        <v>29</v>
      </c>
      <c r="C131" s="95" t="s">
        <v>502</v>
      </c>
      <c r="D131" s="55" t="s">
        <v>520</v>
      </c>
      <c r="E131" s="125" t="s">
        <v>521</v>
      </c>
      <c r="F131" s="42" t="s">
        <v>33</v>
      </c>
      <c r="G131" s="42" t="s">
        <v>505</v>
      </c>
      <c r="H131" s="135">
        <v>0</v>
      </c>
      <c r="I131" s="65" t="s">
        <v>43</v>
      </c>
      <c r="J131" s="23"/>
      <c r="K131" s="23"/>
      <c r="L131" s="24" t="s">
        <v>44</v>
      </c>
      <c r="M131" s="24"/>
      <c r="N131" s="24"/>
      <c r="O131" s="24"/>
      <c r="P131" s="24"/>
      <c r="Q131" s="24"/>
      <c r="R131" s="24"/>
      <c r="S131" s="46" t="str">
        <f>IF(Project_Tracker[[#This Row],[Project Lead]]="", "", IFERROR(VLOOKUP(Project_Tracker[[#This Row],[Project Lead]], Setting!C:D, 2, 0), ""))</f>
        <v>aldy_rienaldy@banpuindo.co.id</v>
      </c>
      <c r="T131" s="47"/>
      <c r="U131" s="37" t="str">
        <f>Project_Tracker[[#This Row],[Project Lead]]&amp;", "&amp;Project_Tracker[[#This Row],[Team Collaboration]]</f>
        <v>ALR, ASN, RPR</v>
      </c>
      <c r="V131" s="37"/>
      <c r="W131" s="37"/>
      <c r="X131" s="56"/>
      <c r="Y131" s="9" t="s">
        <v>0</v>
      </c>
      <c r="Z131" s="10"/>
      <c r="AA131" s="10"/>
      <c r="AB131" s="10"/>
      <c r="AC131" s="10">
        <v>2026</v>
      </c>
    </row>
    <row r="132" spans="1:29" s="116" customFormat="1" ht="30.6" x14ac:dyDescent="0.3">
      <c r="A132" s="17">
        <v>7</v>
      </c>
      <c r="B132" s="18" t="s">
        <v>29</v>
      </c>
      <c r="C132" s="95" t="s">
        <v>502</v>
      </c>
      <c r="D132" s="55" t="s">
        <v>522</v>
      </c>
      <c r="E132" s="125" t="s">
        <v>523</v>
      </c>
      <c r="F132" s="42" t="s">
        <v>33</v>
      </c>
      <c r="G132" s="42" t="s">
        <v>505</v>
      </c>
      <c r="H132" s="135">
        <v>0.68</v>
      </c>
      <c r="I132" s="65" t="s">
        <v>43</v>
      </c>
      <c r="J132" s="23"/>
      <c r="K132" s="23"/>
      <c r="L132" s="24" t="s">
        <v>7</v>
      </c>
      <c r="M132" s="18" t="s">
        <v>524</v>
      </c>
      <c r="N132" s="18" t="s">
        <v>525</v>
      </c>
      <c r="O132" s="24"/>
      <c r="P132" s="24"/>
      <c r="Q132" s="24"/>
      <c r="R132" s="24"/>
      <c r="S132" s="46" t="str">
        <f>IF(Project_Tracker[[#This Row],[Project Lead]]="", "", IFERROR(VLOOKUP(Project_Tracker[[#This Row],[Project Lead]], Setting!C:D, 2, 0), ""))</f>
        <v>aldy_rienaldy@banpuindo.co.id</v>
      </c>
      <c r="T132" s="47"/>
      <c r="U132" s="37" t="str">
        <f>Project_Tracker[[#This Row],[Project Lead]]&amp;", "&amp;Project_Tracker[[#This Row],[Team Collaboration]]</f>
        <v>ALR, ASN, RPR</v>
      </c>
      <c r="V132" s="37"/>
      <c r="W132" s="37"/>
      <c r="X132" s="56"/>
      <c r="Y132" s="9" t="s">
        <v>0</v>
      </c>
      <c r="Z132" s="10"/>
      <c r="AA132" s="10"/>
      <c r="AB132" s="10"/>
      <c r="AC132" s="10">
        <v>2026</v>
      </c>
    </row>
    <row r="133" spans="1:29" s="116" customFormat="1" ht="91.8" x14ac:dyDescent="0.3">
      <c r="A133" s="17">
        <v>8</v>
      </c>
      <c r="B133" s="18" t="s">
        <v>29</v>
      </c>
      <c r="C133" s="95" t="s">
        <v>502</v>
      </c>
      <c r="D133" s="55" t="s">
        <v>526</v>
      </c>
      <c r="E133" s="125" t="s">
        <v>527</v>
      </c>
      <c r="F133" s="42" t="s">
        <v>33</v>
      </c>
      <c r="G133" s="42" t="s">
        <v>505</v>
      </c>
      <c r="H133" s="135">
        <v>0.9</v>
      </c>
      <c r="I133" s="65" t="s">
        <v>43</v>
      </c>
      <c r="J133" s="23">
        <v>46056</v>
      </c>
      <c r="K133" s="23"/>
      <c r="L133" s="24" t="s">
        <v>7</v>
      </c>
      <c r="M133" s="18" t="s">
        <v>528</v>
      </c>
      <c r="N133" s="18" t="s">
        <v>529</v>
      </c>
      <c r="O133" s="24"/>
      <c r="P133" s="24"/>
      <c r="Q133" s="24"/>
      <c r="R133" s="24"/>
      <c r="S133" s="46" t="str">
        <f>IF(Project_Tracker[[#This Row],[Project Lead]]="", "", IFERROR(VLOOKUP(Project_Tracker[[#This Row],[Project Lead]], Setting!C:D, 2, 0), ""))</f>
        <v>aldy_rienaldy@banpuindo.co.id</v>
      </c>
      <c r="T133" s="47"/>
      <c r="U133" s="37" t="str">
        <f>Project_Tracker[[#This Row],[Project Lead]]&amp;", "&amp;Project_Tracker[[#This Row],[Team Collaboration]]</f>
        <v>ALR, ASN, RPR</v>
      </c>
      <c r="V133" s="37"/>
      <c r="W133" s="37"/>
      <c r="X133" s="56"/>
      <c r="Y133" s="9" t="s">
        <v>0</v>
      </c>
      <c r="Z133" s="10"/>
      <c r="AA133" s="10"/>
      <c r="AB133" s="10"/>
      <c r="AC133" s="10">
        <v>2026</v>
      </c>
    </row>
    <row r="134" spans="1:29" s="116" customFormat="1" ht="12.9" customHeight="1" x14ac:dyDescent="0.3">
      <c r="A134" s="17">
        <v>9</v>
      </c>
      <c r="B134" s="18" t="s">
        <v>29</v>
      </c>
      <c r="C134" s="95" t="s">
        <v>502</v>
      </c>
      <c r="D134" s="55" t="s">
        <v>530</v>
      </c>
      <c r="E134" s="125" t="s">
        <v>531</v>
      </c>
      <c r="F134" s="42" t="s">
        <v>510</v>
      </c>
      <c r="G134" s="42" t="s">
        <v>511</v>
      </c>
      <c r="H134" s="135">
        <v>0.2</v>
      </c>
      <c r="I134" s="65" t="s">
        <v>43</v>
      </c>
      <c r="J134" s="23"/>
      <c r="K134" s="23"/>
      <c r="L134" s="24" t="s">
        <v>7</v>
      </c>
      <c r="M134" s="21" t="s">
        <v>532</v>
      </c>
      <c r="N134" s="21" t="s">
        <v>533</v>
      </c>
      <c r="O134" s="24"/>
      <c r="P134" s="24"/>
      <c r="Q134" s="24"/>
      <c r="R134" s="24"/>
      <c r="S134" s="46" t="str">
        <f>IF(Project_Tracker[[#This Row],[Project Lead]]="", "", IFERROR(VLOOKUP(Project_Tracker[[#This Row],[Project Lead]], Setting!C:D, 2, 0), ""))</f>
        <v/>
      </c>
      <c r="T134" s="47"/>
      <c r="U134" s="37" t="str">
        <f>Project_Tracker[[#This Row],[Project Lead]]&amp;", "&amp;Project_Tracker[[#This Row],[Team Collaboration]]</f>
        <v>RPR, ASN, ALR</v>
      </c>
      <c r="V134" s="37"/>
      <c r="W134" s="37"/>
      <c r="X134" s="56"/>
      <c r="Y134" s="9"/>
      <c r="Z134" s="10"/>
      <c r="AA134" s="10"/>
      <c r="AB134" s="10"/>
      <c r="AC134" s="10"/>
    </row>
    <row r="135" spans="1:29" s="116" customFormat="1" ht="90.75" customHeight="1" x14ac:dyDescent="0.3">
      <c r="A135" s="17">
        <v>10</v>
      </c>
      <c r="B135" s="18" t="s">
        <v>29</v>
      </c>
      <c r="C135" s="95" t="s">
        <v>502</v>
      </c>
      <c r="D135" s="55" t="s">
        <v>534</v>
      </c>
      <c r="E135" s="125" t="s">
        <v>535</v>
      </c>
      <c r="F135" s="42" t="s">
        <v>510</v>
      </c>
      <c r="G135" s="42" t="s">
        <v>511</v>
      </c>
      <c r="H135" s="135">
        <v>0.9</v>
      </c>
      <c r="I135" s="65" t="s">
        <v>43</v>
      </c>
      <c r="J135" s="23"/>
      <c r="K135" s="23"/>
      <c r="L135" s="24" t="s">
        <v>7</v>
      </c>
      <c r="M135" s="18" t="s">
        <v>536</v>
      </c>
      <c r="N135" s="18" t="s">
        <v>537</v>
      </c>
      <c r="O135" s="24"/>
      <c r="P135" s="24"/>
      <c r="Q135" s="24"/>
      <c r="R135" s="24"/>
      <c r="S135" s="46" t="str">
        <f>IF(Project_Tracker[[#This Row],[Project Lead]]="", "", IFERROR(VLOOKUP(Project_Tracker[[#This Row],[Project Lead]], Setting!C:D, 2, 0), ""))</f>
        <v/>
      </c>
      <c r="T135" s="47"/>
      <c r="U135" s="37" t="str">
        <f>Project_Tracker[[#This Row],[Project Lead]]&amp;", "&amp;Project_Tracker[[#This Row],[Team Collaboration]]</f>
        <v>RPR, ASN, ALR</v>
      </c>
      <c r="V135" s="37"/>
      <c r="W135" s="37"/>
      <c r="X135" s="56"/>
      <c r="Y135" s="9"/>
      <c r="Z135" s="10"/>
      <c r="AA135" s="10"/>
      <c r="AB135" s="10"/>
      <c r="AC135" s="10"/>
    </row>
    <row r="136" spans="1:29" s="116" customFormat="1" ht="91.8" x14ac:dyDescent="0.3">
      <c r="A136" s="17">
        <v>11</v>
      </c>
      <c r="B136" s="18" t="s">
        <v>29</v>
      </c>
      <c r="C136" s="95" t="s">
        <v>502</v>
      </c>
      <c r="D136" s="55" t="s">
        <v>538</v>
      </c>
      <c r="E136" s="125" t="s">
        <v>539</v>
      </c>
      <c r="F136" s="42" t="s">
        <v>33</v>
      </c>
      <c r="G136" s="42" t="s">
        <v>540</v>
      </c>
      <c r="H136" s="135">
        <v>0.9</v>
      </c>
      <c r="I136" s="65" t="s">
        <v>347</v>
      </c>
      <c r="J136" s="23">
        <v>46056</v>
      </c>
      <c r="K136" s="23"/>
      <c r="L136" s="24" t="s">
        <v>7</v>
      </c>
      <c r="M136" s="18" t="s">
        <v>541</v>
      </c>
      <c r="N136" s="18" t="s">
        <v>542</v>
      </c>
      <c r="O136" s="24"/>
      <c r="P136" s="24"/>
      <c r="Q136" s="24"/>
      <c r="R136" s="24"/>
      <c r="S136" s="46" t="str">
        <f>IF(Project_Tracker[[#This Row],[Project Lead]]="", "", IFERROR(VLOOKUP(Project_Tracker[[#This Row],[Project Lead]], Setting!C:D, 2, 0), ""))</f>
        <v>aldy_rienaldy@banpuindo.co.id</v>
      </c>
      <c r="T136" s="47"/>
      <c r="U136" s="37" t="str">
        <f>Project_Tracker[[#This Row],[Project Lead]]&amp;", "&amp;Project_Tracker[[#This Row],[Team Collaboration]]</f>
        <v>ALR, RAR</v>
      </c>
      <c r="V136" s="37"/>
      <c r="W136" s="37"/>
      <c r="X136" s="56"/>
      <c r="Y136" s="9"/>
      <c r="Z136" s="10"/>
      <c r="AA136" s="10"/>
      <c r="AB136" s="10"/>
      <c r="AC136" s="10"/>
    </row>
    <row r="137" spans="1:29" s="116" customFormat="1" ht="10.199999999999999" x14ac:dyDescent="0.3">
      <c r="A137" s="17">
        <v>11</v>
      </c>
      <c r="B137" s="18" t="s">
        <v>29</v>
      </c>
      <c r="C137" s="95" t="s">
        <v>543</v>
      </c>
      <c r="D137" s="55" t="s">
        <v>544</v>
      </c>
      <c r="E137" s="126" t="s">
        <v>545</v>
      </c>
      <c r="F137" s="42" t="s">
        <v>33</v>
      </c>
      <c r="G137" s="42" t="s">
        <v>546</v>
      </c>
      <c r="H137" s="135">
        <v>0</v>
      </c>
      <c r="I137" s="65" t="s">
        <v>43</v>
      </c>
      <c r="J137" s="23"/>
      <c r="K137" s="23"/>
      <c r="L137" s="24" t="s">
        <v>44</v>
      </c>
      <c r="M137" s="24"/>
      <c r="N137" s="24"/>
      <c r="O137" s="24"/>
      <c r="P137" s="24"/>
      <c r="Q137" s="24"/>
      <c r="R137" s="24"/>
      <c r="S137" s="46" t="str">
        <f>IF(Project_Tracker[[#This Row],[Project Lead]]="", "", IFERROR(VLOOKUP(Project_Tracker[[#This Row],[Project Lead]], Setting!C:D, 2, 0), ""))</f>
        <v>aldy_rienaldy@banpuindo.co.id</v>
      </c>
      <c r="T137" s="47"/>
      <c r="U137" s="37" t="str">
        <f>Project_Tracker[[#This Row],[Project Lead]]&amp;", "&amp;Project_Tracker[[#This Row],[Team Collaboration]]</f>
        <v>ALR, RAR, DHI, RPR</v>
      </c>
      <c r="V137" s="37"/>
      <c r="W137" s="37"/>
      <c r="X137" s="56"/>
      <c r="Y137" s="9" t="s">
        <v>0</v>
      </c>
      <c r="Z137" s="10"/>
      <c r="AA137" s="10"/>
      <c r="AB137" s="10"/>
      <c r="AC137" s="10">
        <v>2026</v>
      </c>
    </row>
    <row r="138" spans="1:29" s="116" customFormat="1" ht="10.199999999999999" x14ac:dyDescent="0.3">
      <c r="A138" s="17">
        <v>12</v>
      </c>
      <c r="B138" s="18" t="s">
        <v>29</v>
      </c>
      <c r="C138" s="95" t="s">
        <v>543</v>
      </c>
      <c r="D138" s="55" t="s">
        <v>547</v>
      </c>
      <c r="E138" s="126" t="s">
        <v>548</v>
      </c>
      <c r="F138" s="42" t="s">
        <v>510</v>
      </c>
      <c r="G138" s="42" t="s">
        <v>540</v>
      </c>
      <c r="H138" s="135">
        <v>0</v>
      </c>
      <c r="I138" s="65" t="s">
        <v>43</v>
      </c>
      <c r="J138" s="23"/>
      <c r="K138" s="23"/>
      <c r="L138" s="24" t="s">
        <v>44</v>
      </c>
      <c r="M138" s="24"/>
      <c r="N138" s="24"/>
      <c r="O138" s="24"/>
      <c r="P138" s="24"/>
      <c r="Q138" s="24"/>
      <c r="R138" s="24"/>
      <c r="S138" s="46" t="str">
        <f>IF(Project_Tracker[[#This Row],[Project Lead]]="", "", IFERROR(VLOOKUP(Project_Tracker[[#This Row],[Project Lead]], Setting!C:D, 2, 0), ""))</f>
        <v/>
      </c>
      <c r="T138" s="47"/>
      <c r="U138" s="37" t="str">
        <f>Project_Tracker[[#This Row],[Project Lead]]&amp;", "&amp;Project_Tracker[[#This Row],[Team Collaboration]]</f>
        <v>RPR, RAR</v>
      </c>
      <c r="V138" s="37"/>
      <c r="W138" s="37"/>
      <c r="X138" s="56"/>
      <c r="Y138" s="9" t="s">
        <v>549</v>
      </c>
      <c r="Z138" s="10"/>
      <c r="AA138" s="10"/>
      <c r="AB138" s="10"/>
      <c r="AC138" s="10">
        <v>2026</v>
      </c>
    </row>
    <row r="139" spans="1:29" s="116" customFormat="1" ht="20.399999999999999" x14ac:dyDescent="0.3">
      <c r="A139" s="17">
        <v>13</v>
      </c>
      <c r="B139" s="18" t="s">
        <v>29</v>
      </c>
      <c r="C139" s="95" t="s">
        <v>543</v>
      </c>
      <c r="D139" s="55" t="s">
        <v>550</v>
      </c>
      <c r="E139" s="126" t="s">
        <v>551</v>
      </c>
      <c r="F139" s="42" t="s">
        <v>33</v>
      </c>
      <c r="G139" s="42" t="s">
        <v>540</v>
      </c>
      <c r="H139" s="135">
        <v>0.1</v>
      </c>
      <c r="I139" s="65" t="s">
        <v>43</v>
      </c>
      <c r="J139" s="23">
        <v>46160</v>
      </c>
      <c r="K139" s="23"/>
      <c r="L139" s="24" t="s">
        <v>7</v>
      </c>
      <c r="M139" s="18" t="s">
        <v>552</v>
      </c>
      <c r="N139" s="24"/>
      <c r="O139" s="24"/>
      <c r="P139" s="24"/>
      <c r="Q139" s="24"/>
      <c r="R139" s="24"/>
      <c r="S139" s="46" t="str">
        <f>IF(Project_Tracker[[#This Row],[Project Lead]]="", "", IFERROR(VLOOKUP(Project_Tracker[[#This Row],[Project Lead]], Setting!C:D, 2, 0), ""))</f>
        <v>aldy_rienaldy@banpuindo.co.id</v>
      </c>
      <c r="T139" s="47"/>
      <c r="U139" s="37" t="str">
        <f>Project_Tracker[[#This Row],[Project Lead]]&amp;", "&amp;Project_Tracker[[#This Row],[Team Collaboration]]</f>
        <v>ALR, RAR</v>
      </c>
      <c r="V139" s="37"/>
      <c r="W139" s="37"/>
      <c r="X139" s="56"/>
      <c r="Y139" s="9" t="s">
        <v>549</v>
      </c>
      <c r="Z139" s="10"/>
      <c r="AA139" s="10"/>
      <c r="AB139" s="10"/>
      <c r="AC139" s="10">
        <v>2026</v>
      </c>
    </row>
    <row r="140" spans="1:29" s="116" customFormat="1" ht="10.199999999999999" x14ac:dyDescent="0.3">
      <c r="A140" s="17">
        <v>14</v>
      </c>
      <c r="B140" s="18" t="s">
        <v>29</v>
      </c>
      <c r="C140" s="95" t="s">
        <v>543</v>
      </c>
      <c r="D140" s="55" t="s">
        <v>553</v>
      </c>
      <c r="E140" s="126" t="s">
        <v>554</v>
      </c>
      <c r="F140" s="42" t="s">
        <v>33</v>
      </c>
      <c r="G140" s="42" t="s">
        <v>540</v>
      </c>
      <c r="H140" s="135">
        <v>0.1</v>
      </c>
      <c r="I140" s="65" t="s">
        <v>43</v>
      </c>
      <c r="J140" s="23">
        <v>46163</v>
      </c>
      <c r="K140" s="23"/>
      <c r="L140" s="24" t="s">
        <v>7</v>
      </c>
      <c r="M140" s="18" t="s">
        <v>555</v>
      </c>
      <c r="N140" s="24"/>
      <c r="O140" s="24"/>
      <c r="P140" s="24"/>
      <c r="Q140" s="24"/>
      <c r="R140" s="24"/>
      <c r="S140" s="46" t="str">
        <f>IF(Project_Tracker[[#This Row],[Project Lead]]="", "", IFERROR(VLOOKUP(Project_Tracker[[#This Row],[Project Lead]], Setting!C:D, 2, 0), ""))</f>
        <v>aldy_rienaldy@banpuindo.co.id</v>
      </c>
      <c r="T140" s="47"/>
      <c r="U140" s="37" t="str">
        <f>Project_Tracker[[#This Row],[Project Lead]]&amp;", "&amp;Project_Tracker[[#This Row],[Team Collaboration]]</f>
        <v>ALR, RAR</v>
      </c>
      <c r="V140" s="37"/>
      <c r="W140" s="37"/>
      <c r="X140" s="56"/>
      <c r="Y140" s="9" t="s">
        <v>549</v>
      </c>
      <c r="Z140" s="10"/>
      <c r="AA140" s="10"/>
      <c r="AB140" s="10"/>
      <c r="AC140" s="10">
        <v>2026</v>
      </c>
    </row>
    <row r="141" spans="1:29" s="116" customFormat="1" ht="10.199999999999999" x14ac:dyDescent="0.3">
      <c r="A141" s="17">
        <v>15</v>
      </c>
      <c r="B141" s="18" t="s">
        <v>29</v>
      </c>
      <c r="C141" s="95" t="s">
        <v>543</v>
      </c>
      <c r="D141" s="55" t="s">
        <v>556</v>
      </c>
      <c r="E141" s="126" t="s">
        <v>557</v>
      </c>
      <c r="F141" s="42" t="s">
        <v>33</v>
      </c>
      <c r="G141" s="42" t="s">
        <v>540</v>
      </c>
      <c r="H141" s="135">
        <v>0</v>
      </c>
      <c r="I141" s="65" t="s">
        <v>43</v>
      </c>
      <c r="J141" s="23"/>
      <c r="K141" s="23"/>
      <c r="L141" s="24" t="s">
        <v>44</v>
      </c>
      <c r="M141" s="24"/>
      <c r="N141" s="24"/>
      <c r="O141" s="24"/>
      <c r="P141" s="24"/>
      <c r="Q141" s="24"/>
      <c r="R141" s="24"/>
      <c r="S141" s="46" t="str">
        <f>IF(Project_Tracker[[#This Row],[Project Lead]]="", "", IFERROR(VLOOKUP(Project_Tracker[[#This Row],[Project Lead]], Setting!C:D, 2, 0), ""))</f>
        <v>aldy_rienaldy@banpuindo.co.id</v>
      </c>
      <c r="T141" s="47"/>
      <c r="U141" s="37" t="str">
        <f>Project_Tracker[[#This Row],[Project Lead]]&amp;", "&amp;Project_Tracker[[#This Row],[Team Collaboration]]</f>
        <v>ALR, RAR</v>
      </c>
      <c r="V141" s="37"/>
      <c r="W141" s="37"/>
      <c r="X141" s="56"/>
      <c r="Y141" s="9" t="s">
        <v>549</v>
      </c>
      <c r="Z141" s="10"/>
      <c r="AA141" s="10"/>
      <c r="AB141" s="10"/>
      <c r="AC141" s="10">
        <v>2026</v>
      </c>
    </row>
    <row r="142" spans="1:29" s="116" customFormat="1" ht="10.199999999999999" x14ac:dyDescent="0.3">
      <c r="A142" s="17">
        <v>16</v>
      </c>
      <c r="B142" s="18" t="s">
        <v>29</v>
      </c>
      <c r="C142" s="95" t="s">
        <v>543</v>
      </c>
      <c r="D142" s="55" t="s">
        <v>558</v>
      </c>
      <c r="E142" s="126" t="s">
        <v>559</v>
      </c>
      <c r="F142" s="42" t="s">
        <v>510</v>
      </c>
      <c r="G142" s="42" t="s">
        <v>540</v>
      </c>
      <c r="H142" s="135">
        <v>0</v>
      </c>
      <c r="I142" s="65" t="s">
        <v>43</v>
      </c>
      <c r="J142" s="23"/>
      <c r="K142" s="23"/>
      <c r="L142" s="24" t="s">
        <v>44</v>
      </c>
      <c r="M142" s="24"/>
      <c r="N142" s="24"/>
      <c r="O142" s="24"/>
      <c r="P142" s="24"/>
      <c r="Q142" s="24"/>
      <c r="R142" s="24"/>
      <c r="S142" s="46" t="str">
        <f>IF(Project_Tracker[[#This Row],[Project Lead]]="", "", IFERROR(VLOOKUP(Project_Tracker[[#This Row],[Project Lead]], Setting!C:D, 2, 0), ""))</f>
        <v/>
      </c>
      <c r="T142" s="47"/>
      <c r="U142" s="37" t="str">
        <f>Project_Tracker[[#This Row],[Project Lead]]&amp;", "&amp;Project_Tracker[[#This Row],[Team Collaboration]]</f>
        <v>RPR, RAR</v>
      </c>
      <c r="V142" s="37"/>
      <c r="W142" s="37"/>
      <c r="X142" s="56"/>
      <c r="Y142" s="9" t="s">
        <v>549</v>
      </c>
      <c r="Z142" s="10"/>
      <c r="AA142" s="10"/>
      <c r="AB142" s="10"/>
      <c r="AC142" s="10">
        <v>2026</v>
      </c>
    </row>
    <row r="143" spans="1:29" s="116" customFormat="1" ht="10.199999999999999" x14ac:dyDescent="0.3">
      <c r="A143" s="17">
        <v>17</v>
      </c>
      <c r="B143" s="18" t="s">
        <v>29</v>
      </c>
      <c r="C143" s="95" t="s">
        <v>543</v>
      </c>
      <c r="D143" s="55" t="s">
        <v>560</v>
      </c>
      <c r="E143" s="126" t="s">
        <v>561</v>
      </c>
      <c r="F143" s="42" t="s">
        <v>510</v>
      </c>
      <c r="G143" s="42" t="s">
        <v>562</v>
      </c>
      <c r="H143" s="135">
        <v>0</v>
      </c>
      <c r="I143" s="65" t="s">
        <v>43</v>
      </c>
      <c r="J143" s="23"/>
      <c r="K143" s="23"/>
      <c r="L143" s="24" t="s">
        <v>44</v>
      </c>
      <c r="M143" s="24"/>
      <c r="N143" s="24"/>
      <c r="O143" s="24"/>
      <c r="P143" s="24"/>
      <c r="Q143" s="24"/>
      <c r="R143" s="24"/>
      <c r="S143" s="46" t="str">
        <f>IF(Project_Tracker[[#This Row],[Project Lead]]="", "", IFERROR(VLOOKUP(Project_Tracker[[#This Row],[Project Lead]], Setting!C:D, 2, 0), ""))</f>
        <v/>
      </c>
      <c r="T143" s="47"/>
      <c r="U143" s="37" t="str">
        <f>Project_Tracker[[#This Row],[Project Lead]]&amp;", "&amp;Project_Tracker[[#This Row],[Team Collaboration]]</f>
        <v>RPR, ALR, RAR, DHI</v>
      </c>
      <c r="V143" s="37"/>
      <c r="W143" s="37"/>
      <c r="X143" s="56"/>
      <c r="Y143" s="9" t="s">
        <v>549</v>
      </c>
      <c r="Z143" s="10"/>
      <c r="AA143" s="10"/>
      <c r="AB143" s="10"/>
      <c r="AC143" s="10">
        <v>2026</v>
      </c>
    </row>
    <row r="144" spans="1:29" s="116" customFormat="1" ht="102" x14ac:dyDescent="0.3">
      <c r="A144" s="17">
        <v>18</v>
      </c>
      <c r="B144" s="18" t="s">
        <v>29</v>
      </c>
      <c r="C144" s="95" t="s">
        <v>543</v>
      </c>
      <c r="D144" s="55" t="s">
        <v>563</v>
      </c>
      <c r="E144" s="126" t="s">
        <v>564</v>
      </c>
      <c r="F144" s="42" t="s">
        <v>33</v>
      </c>
      <c r="G144" s="42" t="s">
        <v>540</v>
      </c>
      <c r="H144" s="135">
        <v>0.92</v>
      </c>
      <c r="I144" s="65" t="s">
        <v>347</v>
      </c>
      <c r="J144" s="23">
        <v>46042</v>
      </c>
      <c r="K144" s="23"/>
      <c r="L144" s="24" t="s">
        <v>7</v>
      </c>
      <c r="M144" s="18" t="s">
        <v>565</v>
      </c>
      <c r="N144" s="18" t="s">
        <v>566</v>
      </c>
      <c r="O144" s="24"/>
      <c r="P144" s="24"/>
      <c r="Q144" s="24"/>
      <c r="R144" s="24"/>
      <c r="S144" s="46" t="str">
        <f>IF(Project_Tracker[[#This Row],[Project Lead]]="", "", IFERROR(VLOOKUP(Project_Tracker[[#This Row],[Project Lead]], Setting!C:D, 2, 0), ""))</f>
        <v>aldy_rienaldy@banpuindo.co.id</v>
      </c>
      <c r="T144" s="47"/>
      <c r="U144" s="37" t="str">
        <f>Project_Tracker[[#This Row],[Project Lead]]&amp;", "&amp;Project_Tracker[[#This Row],[Team Collaboration]]</f>
        <v>ALR, RAR</v>
      </c>
      <c r="V144" s="37"/>
      <c r="W144" s="37"/>
      <c r="X144" s="56"/>
      <c r="Y144" s="9" t="s">
        <v>549</v>
      </c>
      <c r="Z144" s="10"/>
      <c r="AA144" s="10"/>
      <c r="AB144" s="10"/>
      <c r="AC144" s="10">
        <v>2026</v>
      </c>
    </row>
    <row r="145" spans="1:29" s="116" customFormat="1" ht="10.199999999999999" x14ac:dyDescent="0.3">
      <c r="A145" s="17">
        <v>19</v>
      </c>
      <c r="B145" s="18" t="s">
        <v>29</v>
      </c>
      <c r="C145" s="95" t="s">
        <v>543</v>
      </c>
      <c r="D145" s="55" t="s">
        <v>567</v>
      </c>
      <c r="E145" s="126" t="s">
        <v>568</v>
      </c>
      <c r="F145" s="42" t="s">
        <v>510</v>
      </c>
      <c r="G145" s="42" t="s">
        <v>70</v>
      </c>
      <c r="H145" s="135">
        <v>0</v>
      </c>
      <c r="I145" s="65" t="s">
        <v>43</v>
      </c>
      <c r="J145" s="23"/>
      <c r="K145" s="23"/>
      <c r="L145" s="24" t="s">
        <v>44</v>
      </c>
      <c r="M145" s="24"/>
      <c r="N145" s="24"/>
      <c r="O145" s="24"/>
      <c r="P145" s="24"/>
      <c r="Q145" s="24"/>
      <c r="R145" s="24"/>
      <c r="S145" s="46" t="str">
        <f>IF(Project_Tracker[[#This Row],[Project Lead]]="", "", IFERROR(VLOOKUP(Project_Tracker[[#This Row],[Project Lead]], Setting!C:D, 2, 0), ""))</f>
        <v/>
      </c>
      <c r="T145" s="47"/>
      <c r="U145" s="37" t="str">
        <f>Project_Tracker[[#This Row],[Project Lead]]&amp;", "&amp;Project_Tracker[[#This Row],[Team Collaboration]]</f>
        <v>RPR, DHI</v>
      </c>
      <c r="V145" s="37"/>
      <c r="W145" s="37"/>
      <c r="X145" s="56"/>
      <c r="Y145" s="9" t="s">
        <v>549</v>
      </c>
      <c r="Z145" s="10"/>
      <c r="AA145" s="10"/>
      <c r="AB145" s="10"/>
      <c r="AC145" s="10">
        <v>2026</v>
      </c>
    </row>
    <row r="146" spans="1:29" s="116" customFormat="1" ht="10.199999999999999" x14ac:dyDescent="0.3">
      <c r="A146" s="17">
        <v>20</v>
      </c>
      <c r="B146" s="18" t="s">
        <v>29</v>
      </c>
      <c r="C146" s="95" t="s">
        <v>543</v>
      </c>
      <c r="D146" s="55" t="s">
        <v>569</v>
      </c>
      <c r="E146" s="126" t="s">
        <v>570</v>
      </c>
      <c r="F146" s="42" t="s">
        <v>33</v>
      </c>
      <c r="G146" s="42" t="s">
        <v>70</v>
      </c>
      <c r="H146" s="135">
        <v>0</v>
      </c>
      <c r="I146" s="65" t="s">
        <v>43</v>
      </c>
      <c r="J146" s="23"/>
      <c r="K146" s="23"/>
      <c r="L146" s="24" t="s">
        <v>44</v>
      </c>
      <c r="M146" s="24"/>
      <c r="N146" s="24"/>
      <c r="O146" s="24"/>
      <c r="P146" s="24"/>
      <c r="Q146" s="24"/>
      <c r="R146" s="24"/>
      <c r="S146" s="46" t="str">
        <f>IF(Project_Tracker[[#This Row],[Project Lead]]="", "", IFERROR(VLOOKUP(Project_Tracker[[#This Row],[Project Lead]], Setting!C:D, 2, 0), ""))</f>
        <v>aldy_rienaldy@banpuindo.co.id</v>
      </c>
      <c r="T146" s="47"/>
      <c r="U146" s="37" t="str">
        <f>Project_Tracker[[#This Row],[Project Lead]]&amp;", "&amp;Project_Tracker[[#This Row],[Team Collaboration]]</f>
        <v>ALR, DHI</v>
      </c>
      <c r="V146" s="37"/>
      <c r="W146" s="37"/>
      <c r="X146" s="56"/>
      <c r="Y146" s="9" t="s">
        <v>549</v>
      </c>
      <c r="Z146" s="10"/>
      <c r="AA146" s="10"/>
      <c r="AB146" s="10"/>
      <c r="AC146" s="10">
        <v>2026</v>
      </c>
    </row>
    <row r="147" spans="1:29" s="116" customFormat="1" ht="30.6" x14ac:dyDescent="0.3">
      <c r="A147" s="17">
        <v>21</v>
      </c>
      <c r="B147" s="18" t="s">
        <v>29</v>
      </c>
      <c r="C147" s="95" t="s">
        <v>543</v>
      </c>
      <c r="D147" s="55" t="s">
        <v>571</v>
      </c>
      <c r="E147" s="126" t="s">
        <v>572</v>
      </c>
      <c r="F147" s="42" t="s">
        <v>33</v>
      </c>
      <c r="G147" s="42" t="s">
        <v>573</v>
      </c>
      <c r="H147" s="135">
        <v>0.3</v>
      </c>
      <c r="I147" s="65" t="s">
        <v>43</v>
      </c>
      <c r="J147" s="23"/>
      <c r="K147" s="23"/>
      <c r="L147" s="24" t="s">
        <v>7</v>
      </c>
      <c r="M147" s="18" t="s">
        <v>574</v>
      </c>
      <c r="N147" s="18" t="s">
        <v>575</v>
      </c>
      <c r="O147" s="24"/>
      <c r="P147" s="24"/>
      <c r="Q147" s="24"/>
      <c r="R147" s="24"/>
      <c r="S147" s="46" t="str">
        <f>IF(Project_Tracker[[#This Row],[Project Lead]]="", "", IFERROR(VLOOKUP(Project_Tracker[[#This Row],[Project Lead]], Setting!C:D, 2, 0), ""))</f>
        <v>aldy_rienaldy@banpuindo.co.id</v>
      </c>
      <c r="T147" s="47"/>
      <c r="U147" s="37" t="str">
        <f>Project_Tracker[[#This Row],[Project Lead]]&amp;", "&amp;Project_Tracker[[#This Row],[Team Collaboration]]</f>
        <v>ALR, RAR, DHI</v>
      </c>
      <c r="V147" s="37"/>
      <c r="W147" s="37"/>
      <c r="X147" s="56"/>
      <c r="Y147" s="9" t="s">
        <v>549</v>
      </c>
      <c r="Z147" s="10"/>
      <c r="AA147" s="10"/>
      <c r="AB147" s="10"/>
      <c r="AC147" s="10">
        <v>2026</v>
      </c>
    </row>
    <row r="148" spans="1:29" s="116" customFormat="1" ht="10.199999999999999" x14ac:dyDescent="0.3">
      <c r="A148" s="17">
        <v>22</v>
      </c>
      <c r="B148" s="18" t="s">
        <v>29</v>
      </c>
      <c r="C148" s="95" t="s">
        <v>543</v>
      </c>
      <c r="D148" s="55" t="s">
        <v>576</v>
      </c>
      <c r="E148" s="126" t="s">
        <v>577</v>
      </c>
      <c r="F148" s="42" t="s">
        <v>510</v>
      </c>
      <c r="G148" s="42" t="s">
        <v>540</v>
      </c>
      <c r="H148" s="135">
        <v>0</v>
      </c>
      <c r="I148" s="65" t="s">
        <v>43</v>
      </c>
      <c r="J148" s="23"/>
      <c r="K148" s="23"/>
      <c r="L148" s="24" t="s">
        <v>44</v>
      </c>
      <c r="M148" s="24"/>
      <c r="N148" s="24"/>
      <c r="O148" s="24"/>
      <c r="P148" s="24"/>
      <c r="Q148" s="24"/>
      <c r="R148" s="24"/>
      <c r="S148" s="46" t="str">
        <f>IF(Project_Tracker[[#This Row],[Project Lead]]="", "", IFERROR(VLOOKUP(Project_Tracker[[#This Row],[Project Lead]], Setting!C:D, 2, 0), ""))</f>
        <v/>
      </c>
      <c r="T148" s="47"/>
      <c r="U148" s="37" t="str">
        <f>Project_Tracker[[#This Row],[Project Lead]]&amp;", "&amp;Project_Tracker[[#This Row],[Team Collaboration]]</f>
        <v>RPR, RAR</v>
      </c>
      <c r="V148" s="37"/>
      <c r="W148" s="37"/>
      <c r="X148" s="56"/>
      <c r="Y148" s="9" t="s">
        <v>549</v>
      </c>
      <c r="Z148" s="10"/>
      <c r="AA148" s="10"/>
      <c r="AB148" s="10"/>
      <c r="AC148" s="10">
        <v>2026</v>
      </c>
    </row>
    <row r="149" spans="1:29" s="116" customFormat="1" ht="10.199999999999999" x14ac:dyDescent="0.3">
      <c r="A149" s="17">
        <v>23</v>
      </c>
      <c r="B149" s="18" t="s">
        <v>29</v>
      </c>
      <c r="C149" s="95" t="s">
        <v>543</v>
      </c>
      <c r="D149" s="55" t="s">
        <v>578</v>
      </c>
      <c r="E149" s="126" t="s">
        <v>579</v>
      </c>
      <c r="F149" s="42" t="s">
        <v>510</v>
      </c>
      <c r="G149" s="42" t="s">
        <v>70</v>
      </c>
      <c r="H149" s="135">
        <v>0</v>
      </c>
      <c r="I149" s="65" t="s">
        <v>411</v>
      </c>
      <c r="J149" s="23"/>
      <c r="K149" s="23"/>
      <c r="L149" s="24" t="s">
        <v>44</v>
      </c>
      <c r="M149" s="24"/>
      <c r="N149" s="24"/>
      <c r="O149" s="24"/>
      <c r="P149" s="24"/>
      <c r="Q149" s="24"/>
      <c r="R149" s="24"/>
      <c r="S149" s="46" t="str">
        <f>IF(Project_Tracker[[#This Row],[Project Lead]]="", "", IFERROR(VLOOKUP(Project_Tracker[[#This Row],[Project Lead]], Setting!C:D, 2, 0), ""))</f>
        <v/>
      </c>
      <c r="T149" s="47"/>
      <c r="U149" s="37" t="str">
        <f>Project_Tracker[[#This Row],[Project Lead]]&amp;", "&amp;Project_Tracker[[#This Row],[Team Collaboration]]</f>
        <v>RPR, DHI</v>
      </c>
      <c r="V149" s="37"/>
      <c r="W149" s="37"/>
      <c r="X149" s="56"/>
      <c r="Y149" s="9" t="s">
        <v>549</v>
      </c>
      <c r="Z149" s="10"/>
      <c r="AA149" s="10"/>
      <c r="AB149" s="10"/>
      <c r="AC149" s="10">
        <v>2026</v>
      </c>
    </row>
    <row r="150" spans="1:29" s="116" customFormat="1" ht="71.400000000000006" x14ac:dyDescent="0.3">
      <c r="A150" s="17">
        <v>24</v>
      </c>
      <c r="B150" s="18" t="s">
        <v>29</v>
      </c>
      <c r="C150" s="95" t="s">
        <v>543</v>
      </c>
      <c r="D150" s="55" t="s">
        <v>580</v>
      </c>
      <c r="E150" s="126" t="s">
        <v>581</v>
      </c>
      <c r="F150" s="42" t="s">
        <v>33</v>
      </c>
      <c r="G150" s="42" t="s">
        <v>582</v>
      </c>
      <c r="H150" s="135">
        <v>0.68</v>
      </c>
      <c r="I150" s="65" t="s">
        <v>43</v>
      </c>
      <c r="J150" s="23">
        <v>46035</v>
      </c>
      <c r="K150" s="23"/>
      <c r="L150" s="24" t="s">
        <v>7</v>
      </c>
      <c r="M150" s="18" t="s">
        <v>583</v>
      </c>
      <c r="N150" s="18" t="s">
        <v>584</v>
      </c>
      <c r="O150" s="24"/>
      <c r="P150" s="24"/>
      <c r="Q150" s="24"/>
      <c r="R150" s="24"/>
      <c r="S150" s="46" t="str">
        <f>IF(Project_Tracker[[#This Row],[Project Lead]]="", "", IFERROR(VLOOKUP(Project_Tracker[[#This Row],[Project Lead]], Setting!C:D, 2, 0), ""))</f>
        <v>aldy_rienaldy@banpuindo.co.id</v>
      </c>
      <c r="T150" s="47"/>
      <c r="U150" s="37" t="str">
        <f>Project_Tracker[[#This Row],[Project Lead]]&amp;", "&amp;Project_Tracker[[#This Row],[Team Collaboration]]</f>
        <v>ALR, ASN, RAR, DHI, RPR</v>
      </c>
      <c r="V150" s="37"/>
      <c r="W150" s="37"/>
      <c r="X150" s="56"/>
      <c r="Y150" s="9" t="s">
        <v>549</v>
      </c>
      <c r="Z150" s="10"/>
      <c r="AA150" s="10"/>
      <c r="AB150" s="10"/>
      <c r="AC150" s="10">
        <v>2026</v>
      </c>
    </row>
    <row r="151" spans="1:29" s="116" customFormat="1" ht="51" x14ac:dyDescent="0.3">
      <c r="A151" s="17">
        <v>25</v>
      </c>
      <c r="B151" s="18" t="s">
        <v>29</v>
      </c>
      <c r="C151" s="95" t="s">
        <v>543</v>
      </c>
      <c r="D151" s="55" t="s">
        <v>585</v>
      </c>
      <c r="E151" s="126" t="s">
        <v>586</v>
      </c>
      <c r="F151" s="42" t="s">
        <v>33</v>
      </c>
      <c r="G151" s="42" t="s">
        <v>587</v>
      </c>
      <c r="H151" s="135">
        <v>0.7</v>
      </c>
      <c r="I151" s="65" t="s">
        <v>411</v>
      </c>
      <c r="J151" s="23">
        <v>46084</v>
      </c>
      <c r="K151" s="23"/>
      <c r="L151" s="24" t="s">
        <v>7</v>
      </c>
      <c r="M151" s="18" t="s">
        <v>588</v>
      </c>
      <c r="N151" s="18" t="s">
        <v>589</v>
      </c>
      <c r="O151" s="24"/>
      <c r="P151" s="24"/>
      <c r="Q151" s="24"/>
      <c r="R151" s="24"/>
      <c r="S151" s="46" t="str">
        <f>IF(Project_Tracker[[#This Row],[Project Lead]]="", "", IFERROR(VLOOKUP(Project_Tracker[[#This Row],[Project Lead]], Setting!C:D, 2, 0), ""))</f>
        <v>aldy_rienaldy@banpuindo.co.id</v>
      </c>
      <c r="T151" s="47"/>
      <c r="U151" s="37" t="str">
        <f>Project_Tracker[[#This Row],[Project Lead]]&amp;", "&amp;Project_Tracker[[#This Row],[Team Collaboration]]</f>
        <v>ALR, ASN, DHI</v>
      </c>
      <c r="V151" s="37"/>
      <c r="W151" s="37"/>
      <c r="X151" s="56"/>
      <c r="Y151" s="9" t="s">
        <v>549</v>
      </c>
      <c r="Z151" s="10"/>
      <c r="AA151" s="10"/>
      <c r="AB151" s="10"/>
      <c r="AC151" s="10">
        <v>2026</v>
      </c>
    </row>
    <row r="152" spans="1:29" s="116" customFormat="1" ht="10.199999999999999" x14ac:dyDescent="0.3">
      <c r="A152" s="17">
        <v>26</v>
      </c>
      <c r="B152" s="18" t="s">
        <v>29</v>
      </c>
      <c r="C152" s="95" t="s">
        <v>543</v>
      </c>
      <c r="D152" s="55" t="s">
        <v>590</v>
      </c>
      <c r="E152" s="126" t="s">
        <v>591</v>
      </c>
      <c r="F152" s="42" t="s">
        <v>33</v>
      </c>
      <c r="G152" s="42" t="s">
        <v>582</v>
      </c>
      <c r="H152" s="135">
        <v>0</v>
      </c>
      <c r="I152" s="65" t="s">
        <v>347</v>
      </c>
      <c r="J152" s="23"/>
      <c r="K152" s="23"/>
      <c r="L152" s="24" t="s">
        <v>44</v>
      </c>
      <c r="M152" s="24"/>
      <c r="N152" s="24"/>
      <c r="O152" s="24"/>
      <c r="P152" s="24"/>
      <c r="Q152" s="24"/>
      <c r="R152" s="24"/>
      <c r="S152" s="46" t="str">
        <f>IF(Project_Tracker[[#This Row],[Project Lead]]="", "", IFERROR(VLOOKUP(Project_Tracker[[#This Row],[Project Lead]], Setting!C:D, 2, 0), ""))</f>
        <v>aldy_rienaldy@banpuindo.co.id</v>
      </c>
      <c r="T152" s="47"/>
      <c r="U152" s="37" t="str">
        <f>Project_Tracker[[#This Row],[Project Lead]]&amp;", "&amp;Project_Tracker[[#This Row],[Team Collaboration]]</f>
        <v>ALR, ASN, RAR, DHI, RPR</v>
      </c>
      <c r="V152" s="37"/>
      <c r="W152" s="37"/>
      <c r="X152" s="56"/>
      <c r="Y152" s="9" t="s">
        <v>549</v>
      </c>
      <c r="Z152" s="10"/>
      <c r="AA152" s="10"/>
      <c r="AB152" s="10"/>
      <c r="AC152" s="10">
        <v>2026</v>
      </c>
    </row>
    <row r="153" spans="1:29" s="116" customFormat="1" ht="10.199999999999999" x14ac:dyDescent="0.3">
      <c r="A153" s="17">
        <v>27</v>
      </c>
      <c r="B153" s="18" t="s">
        <v>29</v>
      </c>
      <c r="C153" s="95" t="s">
        <v>543</v>
      </c>
      <c r="D153" s="55" t="s">
        <v>592</v>
      </c>
      <c r="E153" s="124" t="s">
        <v>593</v>
      </c>
      <c r="F153" s="42" t="s">
        <v>33</v>
      </c>
      <c r="G153" s="42" t="s">
        <v>70</v>
      </c>
      <c r="H153" s="135">
        <v>0</v>
      </c>
      <c r="I153" s="65" t="s">
        <v>43</v>
      </c>
      <c r="J153" s="23"/>
      <c r="K153" s="23"/>
      <c r="L153" s="24" t="s">
        <v>44</v>
      </c>
      <c r="M153" s="24"/>
      <c r="N153" s="24"/>
      <c r="O153" s="24"/>
      <c r="P153" s="24"/>
      <c r="Q153" s="24"/>
      <c r="R153" s="24"/>
      <c r="S153" s="46" t="str">
        <f>IF(Project_Tracker[[#This Row],[Project Lead]]="", "", IFERROR(VLOOKUP(Project_Tracker[[#This Row],[Project Lead]], Setting!C:D, 2, 0), ""))</f>
        <v>aldy_rienaldy@banpuindo.co.id</v>
      </c>
      <c r="T153" s="47"/>
      <c r="U153" s="37" t="str">
        <f>Project_Tracker[[#This Row],[Project Lead]]&amp;", "&amp;Project_Tracker[[#This Row],[Team Collaboration]]</f>
        <v>ALR, DHI</v>
      </c>
      <c r="V153" s="37"/>
      <c r="W153" s="37"/>
      <c r="X153" s="56"/>
      <c r="Y153" s="9" t="s">
        <v>549</v>
      </c>
      <c r="Z153" s="10"/>
      <c r="AA153" s="10"/>
      <c r="AB153" s="10"/>
      <c r="AC153" s="10">
        <v>2026</v>
      </c>
    </row>
    <row r="154" spans="1:29" s="116" customFormat="1" ht="10.199999999999999" x14ac:dyDescent="0.3">
      <c r="A154" s="17">
        <v>28</v>
      </c>
      <c r="B154" s="18" t="s">
        <v>29</v>
      </c>
      <c r="C154" s="95" t="s">
        <v>543</v>
      </c>
      <c r="D154" s="55" t="s">
        <v>594</v>
      </c>
      <c r="E154" s="124" t="s">
        <v>595</v>
      </c>
      <c r="F154" s="42" t="s">
        <v>33</v>
      </c>
      <c r="G154" s="42" t="s">
        <v>540</v>
      </c>
      <c r="H154" s="135">
        <v>0</v>
      </c>
      <c r="I154" s="65" t="s">
        <v>43</v>
      </c>
      <c r="J154" s="23"/>
      <c r="K154" s="23"/>
      <c r="L154" s="24" t="s">
        <v>44</v>
      </c>
      <c r="M154" s="24"/>
      <c r="N154" s="24"/>
      <c r="O154" s="24"/>
      <c r="P154" s="24"/>
      <c r="Q154" s="24"/>
      <c r="R154" s="24"/>
      <c r="S154" s="46" t="str">
        <f>IF(Project_Tracker[[#This Row],[Project Lead]]="", "", IFERROR(VLOOKUP(Project_Tracker[[#This Row],[Project Lead]], Setting!C:D, 2, 0), ""))</f>
        <v>aldy_rienaldy@banpuindo.co.id</v>
      </c>
      <c r="T154" s="47"/>
      <c r="U154" s="37" t="str">
        <f>Project_Tracker[[#This Row],[Project Lead]]&amp;", "&amp;Project_Tracker[[#This Row],[Team Collaboration]]</f>
        <v>ALR, RAR</v>
      </c>
      <c r="V154" s="37"/>
      <c r="W154" s="37"/>
      <c r="X154" s="56"/>
      <c r="Y154" s="9" t="s">
        <v>549</v>
      </c>
      <c r="Z154" s="10"/>
      <c r="AA154" s="10"/>
      <c r="AB154" s="10"/>
      <c r="AC154" s="10">
        <v>2026</v>
      </c>
    </row>
    <row r="155" spans="1:29" s="116" customFormat="1" ht="20.399999999999999" x14ac:dyDescent="0.3">
      <c r="A155" s="17">
        <v>29</v>
      </c>
      <c r="B155" s="18" t="s">
        <v>29</v>
      </c>
      <c r="C155" s="95" t="s">
        <v>543</v>
      </c>
      <c r="D155" s="55" t="s">
        <v>596</v>
      </c>
      <c r="E155" s="124" t="s">
        <v>597</v>
      </c>
      <c r="F155" s="42" t="s">
        <v>510</v>
      </c>
      <c r="G155" s="42" t="s">
        <v>70</v>
      </c>
      <c r="H155" s="135">
        <v>0.3</v>
      </c>
      <c r="I155" s="65" t="s">
        <v>43</v>
      </c>
      <c r="J155" s="23"/>
      <c r="K155" s="23"/>
      <c r="L155" s="24" t="s">
        <v>7</v>
      </c>
      <c r="M155" s="18" t="s">
        <v>598</v>
      </c>
      <c r="N155" s="21" t="s">
        <v>599</v>
      </c>
      <c r="O155" s="24"/>
      <c r="P155" s="24"/>
      <c r="Q155" s="24"/>
      <c r="R155" s="24"/>
      <c r="S155" s="46" t="str">
        <f>IF(Project_Tracker[[#This Row],[Project Lead]]="", "", IFERROR(VLOOKUP(Project_Tracker[[#This Row],[Project Lead]], Setting!C:D, 2, 0), ""))</f>
        <v/>
      </c>
      <c r="T155" s="47"/>
      <c r="U155" s="37" t="str">
        <f>Project_Tracker[[#This Row],[Project Lead]]&amp;", "&amp;Project_Tracker[[#This Row],[Team Collaboration]]</f>
        <v>RPR, DHI</v>
      </c>
      <c r="V155" s="37"/>
      <c r="W155" s="37"/>
      <c r="X155" s="56"/>
      <c r="Y155" s="9" t="s">
        <v>549</v>
      </c>
      <c r="Z155" s="10"/>
      <c r="AA155" s="10"/>
      <c r="AB155" s="10"/>
      <c r="AC155" s="10">
        <v>2026</v>
      </c>
    </row>
    <row r="156" spans="1:29" s="116" customFormat="1" ht="10.199999999999999" x14ac:dyDescent="0.3">
      <c r="A156" s="17">
        <v>30</v>
      </c>
      <c r="B156" s="18" t="s">
        <v>29</v>
      </c>
      <c r="C156" s="95" t="s">
        <v>543</v>
      </c>
      <c r="D156" s="55" t="s">
        <v>600</v>
      </c>
      <c r="E156" s="124" t="s">
        <v>601</v>
      </c>
      <c r="F156" s="42" t="s">
        <v>33</v>
      </c>
      <c r="G156" s="42" t="s">
        <v>540</v>
      </c>
      <c r="H156" s="135">
        <v>0</v>
      </c>
      <c r="I156" s="65" t="s">
        <v>43</v>
      </c>
      <c r="J156" s="23"/>
      <c r="K156" s="23"/>
      <c r="L156" s="24" t="s">
        <v>44</v>
      </c>
      <c r="M156" s="24"/>
      <c r="N156" s="24"/>
      <c r="O156" s="24"/>
      <c r="P156" s="24"/>
      <c r="Q156" s="24"/>
      <c r="R156" s="24"/>
      <c r="S156" s="46" t="str">
        <f>IF(Project_Tracker[[#This Row],[Project Lead]]="", "", IFERROR(VLOOKUP(Project_Tracker[[#This Row],[Project Lead]], Setting!C:D, 2, 0), ""))</f>
        <v>aldy_rienaldy@banpuindo.co.id</v>
      </c>
      <c r="T156" s="47"/>
      <c r="U156" s="37" t="str">
        <f>Project_Tracker[[#This Row],[Project Lead]]&amp;", "&amp;Project_Tracker[[#This Row],[Team Collaboration]]</f>
        <v>ALR, RAR</v>
      </c>
      <c r="V156" s="37"/>
      <c r="W156" s="37"/>
      <c r="X156" s="56"/>
      <c r="Y156" s="9" t="s">
        <v>549</v>
      </c>
      <c r="Z156" s="10"/>
      <c r="AA156" s="10"/>
      <c r="AB156" s="10"/>
      <c r="AC156" s="10">
        <v>2026</v>
      </c>
    </row>
    <row r="157" spans="1:29" s="116" customFormat="1" ht="10.199999999999999" x14ac:dyDescent="0.3">
      <c r="A157" s="17">
        <v>31</v>
      </c>
      <c r="B157" s="18" t="s">
        <v>29</v>
      </c>
      <c r="C157" s="95" t="s">
        <v>543</v>
      </c>
      <c r="D157" s="55" t="s">
        <v>602</v>
      </c>
      <c r="E157" s="124" t="s">
        <v>603</v>
      </c>
      <c r="F157" s="42" t="s">
        <v>33</v>
      </c>
      <c r="G157" s="42" t="s">
        <v>540</v>
      </c>
      <c r="H157" s="135">
        <v>0</v>
      </c>
      <c r="I157" s="65" t="s">
        <v>43</v>
      </c>
      <c r="J157" s="23"/>
      <c r="K157" s="23"/>
      <c r="L157" s="24" t="s">
        <v>44</v>
      </c>
      <c r="M157" s="24"/>
      <c r="N157" s="24"/>
      <c r="O157" s="24"/>
      <c r="P157" s="24"/>
      <c r="Q157" s="24"/>
      <c r="R157" s="24"/>
      <c r="S157" s="46" t="str">
        <f>IF(Project_Tracker[[#This Row],[Project Lead]]="", "", IFERROR(VLOOKUP(Project_Tracker[[#This Row],[Project Lead]], Setting!C:D, 2, 0), ""))</f>
        <v>aldy_rienaldy@banpuindo.co.id</v>
      </c>
      <c r="T157" s="47"/>
      <c r="U157" s="37" t="str">
        <f>Project_Tracker[[#This Row],[Project Lead]]&amp;", "&amp;Project_Tracker[[#This Row],[Team Collaboration]]</f>
        <v>ALR, RAR</v>
      </c>
      <c r="V157" s="37"/>
      <c r="W157" s="37"/>
      <c r="X157" s="56"/>
      <c r="Y157" s="9" t="s">
        <v>549</v>
      </c>
      <c r="Z157" s="10"/>
      <c r="AA157" s="10"/>
      <c r="AB157" s="10"/>
      <c r="AC157" s="10">
        <v>2026</v>
      </c>
    </row>
    <row r="158" spans="1:29" s="116" customFormat="1" ht="10.199999999999999" x14ac:dyDescent="0.3">
      <c r="A158" s="17">
        <v>32</v>
      </c>
      <c r="B158" s="18" t="s">
        <v>29</v>
      </c>
      <c r="C158" s="95" t="s">
        <v>543</v>
      </c>
      <c r="D158" s="55" t="s">
        <v>604</v>
      </c>
      <c r="E158" s="124" t="s">
        <v>605</v>
      </c>
      <c r="F158" s="42" t="s">
        <v>33</v>
      </c>
      <c r="G158" s="42" t="s">
        <v>70</v>
      </c>
      <c r="H158" s="135">
        <v>0</v>
      </c>
      <c r="I158" s="65" t="s">
        <v>43</v>
      </c>
      <c r="J158" s="23"/>
      <c r="K158" s="23"/>
      <c r="L158" s="24" t="s">
        <v>44</v>
      </c>
      <c r="M158" s="24"/>
      <c r="N158" s="24"/>
      <c r="O158" s="24"/>
      <c r="P158" s="24"/>
      <c r="Q158" s="24"/>
      <c r="R158" s="24"/>
      <c r="S158" s="46" t="str">
        <f>IF(Project_Tracker[[#This Row],[Project Lead]]="", "", IFERROR(VLOOKUP(Project_Tracker[[#This Row],[Project Lead]], Setting!C:D, 2, 0), ""))</f>
        <v>aldy_rienaldy@banpuindo.co.id</v>
      </c>
      <c r="T158" s="47"/>
      <c r="U158" s="37" t="str">
        <f>Project_Tracker[[#This Row],[Project Lead]]&amp;", "&amp;Project_Tracker[[#This Row],[Team Collaboration]]</f>
        <v>ALR, DHI</v>
      </c>
      <c r="V158" s="37"/>
      <c r="W158" s="37"/>
      <c r="X158" s="56"/>
      <c r="Y158" s="9" t="s">
        <v>549</v>
      </c>
      <c r="Z158" s="10"/>
      <c r="AA158" s="10"/>
      <c r="AB158" s="10"/>
      <c r="AC158" s="10">
        <v>2026</v>
      </c>
    </row>
    <row r="159" spans="1:29" s="116" customFormat="1" ht="10.199999999999999" x14ac:dyDescent="0.3">
      <c r="A159" s="17">
        <v>33</v>
      </c>
      <c r="B159" s="18" t="s">
        <v>29</v>
      </c>
      <c r="C159" s="95" t="s">
        <v>543</v>
      </c>
      <c r="D159" s="55" t="s">
        <v>606</v>
      </c>
      <c r="E159" s="124" t="s">
        <v>539</v>
      </c>
      <c r="F159" s="42" t="s">
        <v>33</v>
      </c>
      <c r="G159" s="42" t="s">
        <v>540</v>
      </c>
      <c r="H159" s="135">
        <v>0.1</v>
      </c>
      <c r="I159" s="65" t="s">
        <v>347</v>
      </c>
      <c r="J159" s="23">
        <v>46056</v>
      </c>
      <c r="K159" s="23"/>
      <c r="L159" s="24" t="s">
        <v>7</v>
      </c>
      <c r="M159" s="18" t="s">
        <v>607</v>
      </c>
      <c r="N159" s="18" t="s">
        <v>608</v>
      </c>
      <c r="O159" s="24"/>
      <c r="P159" s="24"/>
      <c r="Q159" s="24"/>
      <c r="R159" s="24"/>
      <c r="S159" s="46" t="str">
        <f>IF(Project_Tracker[[#This Row],[Project Lead]]="", "", IFERROR(VLOOKUP(Project_Tracker[[#This Row],[Project Lead]], Setting!C:D, 2, 0), ""))</f>
        <v>aldy_rienaldy@banpuindo.co.id</v>
      </c>
      <c r="T159" s="47"/>
      <c r="U159" s="37" t="str">
        <f>Project_Tracker[[#This Row],[Project Lead]]&amp;", "&amp;Project_Tracker[[#This Row],[Team Collaboration]]</f>
        <v>ALR, RAR</v>
      </c>
      <c r="V159" s="37"/>
      <c r="W159" s="37"/>
      <c r="X159" s="56"/>
      <c r="Y159" s="9" t="s">
        <v>549</v>
      </c>
      <c r="Z159" s="10"/>
      <c r="AA159" s="10"/>
      <c r="AB159" s="10"/>
      <c r="AC159" s="10">
        <v>2026</v>
      </c>
    </row>
    <row r="160" spans="1:29" s="116" customFormat="1" ht="10.199999999999999" x14ac:dyDescent="0.3">
      <c r="A160" s="17">
        <v>34</v>
      </c>
      <c r="B160" s="18" t="s">
        <v>29</v>
      </c>
      <c r="C160" s="95" t="s">
        <v>543</v>
      </c>
      <c r="D160" s="55" t="s">
        <v>609</v>
      </c>
      <c r="E160" s="124" t="s">
        <v>610</v>
      </c>
      <c r="F160" s="42" t="s">
        <v>33</v>
      </c>
      <c r="G160" s="42" t="s">
        <v>540</v>
      </c>
      <c r="H160" s="135">
        <v>0</v>
      </c>
      <c r="I160" s="65" t="s">
        <v>43</v>
      </c>
      <c r="J160" s="23"/>
      <c r="K160" s="23"/>
      <c r="L160" s="24" t="s">
        <v>44</v>
      </c>
      <c r="M160" s="24"/>
      <c r="N160" s="24"/>
      <c r="O160" s="24"/>
      <c r="P160" s="24"/>
      <c r="Q160" s="24"/>
      <c r="R160" s="24"/>
      <c r="S160" s="46" t="str">
        <f>IF(Project_Tracker[[#This Row],[Project Lead]]="", "", IFERROR(VLOOKUP(Project_Tracker[[#This Row],[Project Lead]], Setting!C:D, 2, 0), ""))</f>
        <v>aldy_rienaldy@banpuindo.co.id</v>
      </c>
      <c r="T160" s="47"/>
      <c r="U160" s="37" t="str">
        <f>Project_Tracker[[#This Row],[Project Lead]]&amp;", "&amp;Project_Tracker[[#This Row],[Team Collaboration]]</f>
        <v>ALR, RAR</v>
      </c>
      <c r="V160" s="37"/>
      <c r="W160" s="37"/>
      <c r="X160" s="56"/>
      <c r="Y160" s="9" t="s">
        <v>549</v>
      </c>
      <c r="Z160" s="10"/>
      <c r="AA160" s="10"/>
      <c r="AB160" s="10"/>
      <c r="AC160" s="10">
        <v>2026</v>
      </c>
    </row>
    <row r="161" spans="1:29" s="116" customFormat="1" ht="10.199999999999999" x14ac:dyDescent="0.3">
      <c r="A161" s="17">
        <v>35</v>
      </c>
      <c r="B161" s="18" t="s">
        <v>29</v>
      </c>
      <c r="C161" s="95" t="s">
        <v>543</v>
      </c>
      <c r="D161" s="55" t="s">
        <v>611</v>
      </c>
      <c r="E161" s="124" t="s">
        <v>612</v>
      </c>
      <c r="F161" s="42" t="s">
        <v>510</v>
      </c>
      <c r="G161" s="42" t="s">
        <v>70</v>
      </c>
      <c r="H161" s="135">
        <v>0</v>
      </c>
      <c r="I161" s="65" t="s">
        <v>43</v>
      </c>
      <c r="J161" s="23"/>
      <c r="K161" s="23"/>
      <c r="L161" s="24" t="s">
        <v>44</v>
      </c>
      <c r="M161" s="24"/>
      <c r="N161" s="24"/>
      <c r="O161" s="24"/>
      <c r="P161" s="24"/>
      <c r="Q161" s="24"/>
      <c r="R161" s="24"/>
      <c r="S161" s="46" t="str">
        <f>IF(Project_Tracker[[#This Row],[Project Lead]]="", "", IFERROR(VLOOKUP(Project_Tracker[[#This Row],[Project Lead]], Setting!C:D, 2, 0), ""))</f>
        <v/>
      </c>
      <c r="T161" s="47"/>
      <c r="U161" s="37" t="str">
        <f>Project_Tracker[[#This Row],[Project Lead]]&amp;", "&amp;Project_Tracker[[#This Row],[Team Collaboration]]</f>
        <v>RPR, DHI</v>
      </c>
      <c r="V161" s="37"/>
      <c r="W161" s="37"/>
      <c r="X161" s="56"/>
      <c r="Y161" s="9" t="s">
        <v>549</v>
      </c>
      <c r="Z161" s="10"/>
      <c r="AA161" s="10"/>
      <c r="AB161" s="10"/>
      <c r="AC161" s="10">
        <v>2026</v>
      </c>
    </row>
    <row r="162" spans="1:29" s="116" customFormat="1" ht="40.799999999999997" x14ac:dyDescent="0.3">
      <c r="A162" s="17">
        <v>36</v>
      </c>
      <c r="B162" s="18" t="s">
        <v>29</v>
      </c>
      <c r="C162" s="95" t="s">
        <v>543</v>
      </c>
      <c r="D162" s="55" t="s">
        <v>613</v>
      </c>
      <c r="E162" s="124" t="s">
        <v>614</v>
      </c>
      <c r="F162" s="42" t="s">
        <v>33</v>
      </c>
      <c r="G162" s="42" t="s">
        <v>540</v>
      </c>
      <c r="H162" s="135">
        <v>0.8</v>
      </c>
      <c r="I162" s="65" t="s">
        <v>43</v>
      </c>
      <c r="J162" s="23"/>
      <c r="K162" s="23"/>
      <c r="L162" s="24" t="s">
        <v>7</v>
      </c>
      <c r="M162" s="18" t="s">
        <v>615</v>
      </c>
      <c r="N162" s="18" t="s">
        <v>616</v>
      </c>
      <c r="O162" s="24"/>
      <c r="P162" s="24"/>
      <c r="Q162" s="24"/>
      <c r="R162" s="24"/>
      <c r="S162" s="46" t="str">
        <f>IF(Project_Tracker[[#This Row],[Project Lead]]="", "", IFERROR(VLOOKUP(Project_Tracker[[#This Row],[Project Lead]], Setting!C:D, 2, 0), ""))</f>
        <v>aldy_rienaldy@banpuindo.co.id</v>
      </c>
      <c r="T162" s="47"/>
      <c r="U162" s="37" t="str">
        <f>Project_Tracker[[#This Row],[Project Lead]]&amp;", "&amp;Project_Tracker[[#This Row],[Team Collaboration]]</f>
        <v>ALR, RAR</v>
      </c>
      <c r="V162" s="37"/>
      <c r="W162" s="37"/>
      <c r="X162" s="56"/>
      <c r="Y162" s="9" t="s">
        <v>549</v>
      </c>
      <c r="Z162" s="10"/>
      <c r="AA162" s="10"/>
      <c r="AB162" s="10"/>
      <c r="AC162" s="10">
        <v>2026</v>
      </c>
    </row>
    <row r="163" spans="1:29" s="116" customFormat="1" ht="10.199999999999999" x14ac:dyDescent="0.3">
      <c r="A163" s="17">
        <v>37</v>
      </c>
      <c r="B163" s="18" t="s">
        <v>29</v>
      </c>
      <c r="C163" s="95" t="s">
        <v>543</v>
      </c>
      <c r="D163" s="55" t="s">
        <v>617</v>
      </c>
      <c r="E163" s="124" t="s">
        <v>618</v>
      </c>
      <c r="F163" s="42" t="s">
        <v>510</v>
      </c>
      <c r="G163" s="42" t="s">
        <v>70</v>
      </c>
      <c r="H163" s="135">
        <v>0</v>
      </c>
      <c r="I163" s="65" t="s">
        <v>43</v>
      </c>
      <c r="J163" s="23"/>
      <c r="K163" s="23"/>
      <c r="L163" s="24" t="s">
        <v>44</v>
      </c>
      <c r="M163" s="24"/>
      <c r="N163" s="24"/>
      <c r="O163" s="24"/>
      <c r="P163" s="24"/>
      <c r="Q163" s="24"/>
      <c r="R163" s="24"/>
      <c r="S163" s="46" t="str">
        <f>IF(Project_Tracker[[#This Row],[Project Lead]]="", "", IFERROR(VLOOKUP(Project_Tracker[[#This Row],[Project Lead]], Setting!C:D, 2, 0), ""))</f>
        <v/>
      </c>
      <c r="T163" s="47"/>
      <c r="U163" s="37" t="str">
        <f>Project_Tracker[[#This Row],[Project Lead]]&amp;", "&amp;Project_Tracker[[#This Row],[Team Collaboration]]</f>
        <v>RPR, DHI</v>
      </c>
      <c r="V163" s="37"/>
      <c r="W163" s="37"/>
      <c r="X163" s="56"/>
      <c r="Y163" s="9" t="s">
        <v>549</v>
      </c>
      <c r="Z163" s="10"/>
      <c r="AA163" s="10"/>
      <c r="AB163" s="10"/>
      <c r="AC163" s="10">
        <v>2026</v>
      </c>
    </row>
    <row r="164" spans="1:29" s="116" customFormat="1" ht="10.199999999999999" x14ac:dyDescent="0.3">
      <c r="A164" s="17">
        <v>38</v>
      </c>
      <c r="B164" s="18" t="s">
        <v>29</v>
      </c>
      <c r="C164" s="95" t="s">
        <v>543</v>
      </c>
      <c r="D164" s="55" t="s">
        <v>619</v>
      </c>
      <c r="E164" s="124" t="s">
        <v>620</v>
      </c>
      <c r="F164" s="42" t="s">
        <v>510</v>
      </c>
      <c r="G164" s="42" t="s">
        <v>540</v>
      </c>
      <c r="H164" s="135">
        <v>0</v>
      </c>
      <c r="I164" s="65" t="s">
        <v>43</v>
      </c>
      <c r="J164" s="23"/>
      <c r="K164" s="23"/>
      <c r="L164" s="24" t="s">
        <v>44</v>
      </c>
      <c r="M164" s="24"/>
      <c r="N164" s="24"/>
      <c r="O164" s="24"/>
      <c r="P164" s="24"/>
      <c r="Q164" s="24"/>
      <c r="R164" s="24"/>
      <c r="S164" s="46" t="str">
        <f>IF(Project_Tracker[[#This Row],[Project Lead]]="", "", IFERROR(VLOOKUP(Project_Tracker[[#This Row],[Project Lead]], Setting!C:D, 2, 0), ""))</f>
        <v/>
      </c>
      <c r="T164" s="47"/>
      <c r="U164" s="37" t="str">
        <f>Project_Tracker[[#This Row],[Project Lead]]&amp;", "&amp;Project_Tracker[[#This Row],[Team Collaboration]]</f>
        <v>RPR, RAR</v>
      </c>
      <c r="V164" s="37"/>
      <c r="W164" s="37"/>
      <c r="X164" s="56"/>
      <c r="Y164" s="9" t="s">
        <v>549</v>
      </c>
      <c r="Z164" s="10"/>
      <c r="AA164" s="10"/>
      <c r="AB164" s="10"/>
      <c r="AC164" s="10">
        <v>2026</v>
      </c>
    </row>
    <row r="165" spans="1:29" s="116" customFormat="1" ht="71.400000000000006" x14ac:dyDescent="0.3">
      <c r="A165" s="17">
        <v>39</v>
      </c>
      <c r="B165" s="18" t="s">
        <v>29</v>
      </c>
      <c r="C165" s="118" t="s">
        <v>621</v>
      </c>
      <c r="D165" s="55" t="s">
        <v>622</v>
      </c>
      <c r="E165" s="126" t="s">
        <v>623</v>
      </c>
      <c r="F165" s="42" t="s">
        <v>33</v>
      </c>
      <c r="G165" s="42" t="s">
        <v>505</v>
      </c>
      <c r="H165" s="135">
        <v>0.4</v>
      </c>
      <c r="I165" s="65" t="s">
        <v>347</v>
      </c>
      <c r="J165" s="23">
        <v>46034</v>
      </c>
      <c r="K165" s="23"/>
      <c r="L165" s="24" t="s">
        <v>7</v>
      </c>
      <c r="M165" s="18" t="s">
        <v>624</v>
      </c>
      <c r="N165" s="18" t="s">
        <v>625</v>
      </c>
      <c r="O165" s="24"/>
      <c r="P165" s="24"/>
      <c r="Q165" s="24"/>
      <c r="R165" s="24"/>
      <c r="S165" s="46" t="str">
        <f>IF(Project_Tracker[[#This Row],[Project Lead]]="", "", IFERROR(VLOOKUP(Project_Tracker[[#This Row],[Project Lead]], Setting!C:D, 2, 0), ""))</f>
        <v>aldy_rienaldy@banpuindo.co.id</v>
      </c>
      <c r="T165" s="47"/>
      <c r="U165" s="37" t="str">
        <f>Project_Tracker[[#This Row],[Project Lead]]&amp;", "&amp;Project_Tracker[[#This Row],[Team Collaboration]]</f>
        <v>ALR, ASN, RPR</v>
      </c>
      <c r="V165" s="37"/>
      <c r="W165" s="37"/>
      <c r="X165" s="56"/>
      <c r="Y165" s="9" t="s">
        <v>0</v>
      </c>
      <c r="Z165" s="10"/>
      <c r="AA165" s="10"/>
      <c r="AB165" s="10"/>
      <c r="AC165" s="10">
        <v>2026</v>
      </c>
    </row>
    <row r="166" spans="1:29" s="116" customFormat="1" ht="71.400000000000006" x14ac:dyDescent="0.3">
      <c r="A166" s="17">
        <v>40</v>
      </c>
      <c r="B166" s="18" t="s">
        <v>29</v>
      </c>
      <c r="C166" s="118" t="s">
        <v>621</v>
      </c>
      <c r="D166" s="55" t="s">
        <v>626</v>
      </c>
      <c r="E166" s="126" t="s">
        <v>627</v>
      </c>
      <c r="F166" s="42" t="s">
        <v>33</v>
      </c>
      <c r="G166" s="42" t="s">
        <v>505</v>
      </c>
      <c r="H166" s="135">
        <v>0.4</v>
      </c>
      <c r="I166" s="65" t="s">
        <v>347</v>
      </c>
      <c r="J166" s="23">
        <v>46034</v>
      </c>
      <c r="K166" s="23"/>
      <c r="L166" s="24" t="s">
        <v>7</v>
      </c>
      <c r="M166" s="18" t="s">
        <v>624</v>
      </c>
      <c r="N166" s="18" t="s">
        <v>625</v>
      </c>
      <c r="O166" s="24"/>
      <c r="P166" s="24"/>
      <c r="Q166" s="24"/>
      <c r="R166" s="24"/>
      <c r="S166" s="46" t="str">
        <f>IF(Project_Tracker[[#This Row],[Project Lead]]="", "", IFERROR(VLOOKUP(Project_Tracker[[#This Row],[Project Lead]], Setting!C:D, 2, 0), ""))</f>
        <v>aldy_rienaldy@banpuindo.co.id</v>
      </c>
      <c r="T166" s="47"/>
      <c r="U166" s="37" t="str">
        <f>Project_Tracker[[#This Row],[Project Lead]]&amp;", "&amp;Project_Tracker[[#This Row],[Team Collaboration]]</f>
        <v>ALR, ASN, RPR</v>
      </c>
      <c r="V166" s="37"/>
      <c r="W166" s="37"/>
      <c r="X166" s="56"/>
      <c r="Y166" s="9" t="s">
        <v>0</v>
      </c>
      <c r="Z166" s="10"/>
      <c r="AA166" s="10"/>
      <c r="AB166" s="10"/>
      <c r="AC166" s="10">
        <v>2026</v>
      </c>
    </row>
    <row r="167" spans="1:29" s="116" customFormat="1" ht="71.400000000000006" x14ac:dyDescent="0.3">
      <c r="A167" s="17">
        <v>41</v>
      </c>
      <c r="B167" s="18" t="s">
        <v>29</v>
      </c>
      <c r="C167" s="118" t="s">
        <v>621</v>
      </c>
      <c r="D167" s="55" t="s">
        <v>628</v>
      </c>
      <c r="E167" s="126" t="s">
        <v>629</v>
      </c>
      <c r="F167" s="42" t="s">
        <v>33</v>
      </c>
      <c r="G167" s="42" t="s">
        <v>505</v>
      </c>
      <c r="H167" s="135">
        <v>0.4</v>
      </c>
      <c r="I167" s="65" t="s">
        <v>347</v>
      </c>
      <c r="J167" s="23">
        <v>46034</v>
      </c>
      <c r="K167" s="23"/>
      <c r="L167" s="24" t="s">
        <v>7</v>
      </c>
      <c r="M167" s="18" t="s">
        <v>624</v>
      </c>
      <c r="N167" s="18" t="s">
        <v>625</v>
      </c>
      <c r="O167" s="24"/>
      <c r="P167" s="24"/>
      <c r="Q167" s="24"/>
      <c r="R167" s="24"/>
      <c r="S167" s="46" t="str">
        <f>IF(Project_Tracker[[#This Row],[Project Lead]]="", "", IFERROR(VLOOKUP(Project_Tracker[[#This Row],[Project Lead]], Setting!C:D, 2, 0), ""))</f>
        <v>aldy_rienaldy@banpuindo.co.id</v>
      </c>
      <c r="T167" s="47"/>
      <c r="U167" s="37" t="str">
        <f>Project_Tracker[[#This Row],[Project Lead]]&amp;", "&amp;Project_Tracker[[#This Row],[Team Collaboration]]</f>
        <v>ALR, ASN, RPR</v>
      </c>
      <c r="V167" s="37"/>
      <c r="W167" s="37"/>
      <c r="X167" s="56"/>
      <c r="Y167" s="9" t="s">
        <v>0</v>
      </c>
      <c r="Z167" s="10"/>
      <c r="AA167" s="10"/>
      <c r="AB167" s="10"/>
      <c r="AC167" s="10">
        <v>2026</v>
      </c>
    </row>
    <row r="168" spans="1:29" s="116" customFormat="1" ht="71.400000000000006" x14ac:dyDescent="0.3">
      <c r="A168" s="17">
        <v>42</v>
      </c>
      <c r="B168" s="18" t="s">
        <v>29</v>
      </c>
      <c r="C168" s="118" t="s">
        <v>621</v>
      </c>
      <c r="D168" s="55" t="s">
        <v>630</v>
      </c>
      <c r="E168" s="126" t="s">
        <v>631</v>
      </c>
      <c r="F168" s="42" t="s">
        <v>33</v>
      </c>
      <c r="G168" s="42" t="s">
        <v>505</v>
      </c>
      <c r="H168" s="135">
        <v>0.4</v>
      </c>
      <c r="I168" s="65" t="s">
        <v>347</v>
      </c>
      <c r="J168" s="23">
        <v>46034</v>
      </c>
      <c r="K168" s="23"/>
      <c r="L168" s="24" t="s">
        <v>7</v>
      </c>
      <c r="M168" s="18" t="s">
        <v>624</v>
      </c>
      <c r="N168" s="18" t="s">
        <v>625</v>
      </c>
      <c r="O168" s="24"/>
      <c r="P168" s="24"/>
      <c r="Q168" s="24"/>
      <c r="R168" s="24"/>
      <c r="S168" s="46" t="str">
        <f>IF(Project_Tracker[[#This Row],[Project Lead]]="", "", IFERROR(VLOOKUP(Project_Tracker[[#This Row],[Project Lead]], Setting!C:D, 2, 0), ""))</f>
        <v>aldy_rienaldy@banpuindo.co.id</v>
      </c>
      <c r="T168" s="47"/>
      <c r="U168" s="37" t="str">
        <f>Project_Tracker[[#This Row],[Project Lead]]&amp;", "&amp;Project_Tracker[[#This Row],[Team Collaboration]]</f>
        <v>ALR, ASN, RPR</v>
      </c>
      <c r="V168" s="37"/>
      <c r="W168" s="37"/>
      <c r="X168" s="56"/>
      <c r="Y168" s="9" t="s">
        <v>0</v>
      </c>
      <c r="Z168" s="10"/>
      <c r="AA168" s="10"/>
      <c r="AB168" s="10"/>
      <c r="AC168" s="10">
        <v>2026</v>
      </c>
    </row>
    <row r="169" spans="1:29" s="116" customFormat="1" ht="71.400000000000006" x14ac:dyDescent="0.3">
      <c r="A169" s="17">
        <v>43</v>
      </c>
      <c r="B169" s="18" t="s">
        <v>29</v>
      </c>
      <c r="C169" s="118" t="s">
        <v>621</v>
      </c>
      <c r="D169" s="55" t="s">
        <v>632</v>
      </c>
      <c r="E169" s="126" t="s">
        <v>633</v>
      </c>
      <c r="F169" s="42" t="s">
        <v>33</v>
      </c>
      <c r="G169" s="42" t="s">
        <v>505</v>
      </c>
      <c r="H169" s="135">
        <v>0.4</v>
      </c>
      <c r="I169" s="65" t="s">
        <v>347</v>
      </c>
      <c r="J169" s="23">
        <v>46034</v>
      </c>
      <c r="K169" s="23"/>
      <c r="L169" s="24" t="s">
        <v>7</v>
      </c>
      <c r="M169" s="18" t="s">
        <v>624</v>
      </c>
      <c r="N169" s="18" t="s">
        <v>625</v>
      </c>
      <c r="O169" s="24"/>
      <c r="P169" s="24"/>
      <c r="Q169" s="24"/>
      <c r="R169" s="24"/>
      <c r="S169" s="46" t="str">
        <f>IF(Project_Tracker[[#This Row],[Project Lead]]="", "", IFERROR(VLOOKUP(Project_Tracker[[#This Row],[Project Lead]], Setting!C:D, 2, 0), ""))</f>
        <v>aldy_rienaldy@banpuindo.co.id</v>
      </c>
      <c r="T169" s="47"/>
      <c r="U169" s="37" t="str">
        <f>Project_Tracker[[#This Row],[Project Lead]]&amp;", "&amp;Project_Tracker[[#This Row],[Team Collaboration]]</f>
        <v>ALR, ASN, RPR</v>
      </c>
      <c r="V169" s="37"/>
      <c r="W169" s="37"/>
      <c r="X169" s="56"/>
      <c r="Y169" s="9" t="s">
        <v>0</v>
      </c>
      <c r="Z169" s="10"/>
      <c r="AA169" s="10"/>
      <c r="AB169" s="10"/>
      <c r="AC169" s="10">
        <v>2026</v>
      </c>
    </row>
    <row r="170" spans="1:29" s="116" customFormat="1" ht="71.400000000000006" x14ac:dyDescent="0.3">
      <c r="A170" s="17">
        <v>44</v>
      </c>
      <c r="B170" s="18" t="s">
        <v>29</v>
      </c>
      <c r="C170" s="118" t="s">
        <v>621</v>
      </c>
      <c r="D170" s="55" t="s">
        <v>634</v>
      </c>
      <c r="E170" s="126" t="s">
        <v>635</v>
      </c>
      <c r="F170" s="42" t="s">
        <v>33</v>
      </c>
      <c r="G170" s="42" t="s">
        <v>505</v>
      </c>
      <c r="H170" s="135">
        <v>0.4</v>
      </c>
      <c r="I170" s="65" t="s">
        <v>347</v>
      </c>
      <c r="J170" s="23">
        <v>46034</v>
      </c>
      <c r="K170" s="23"/>
      <c r="L170" s="24" t="s">
        <v>7</v>
      </c>
      <c r="M170" s="18" t="s">
        <v>624</v>
      </c>
      <c r="N170" s="18" t="s">
        <v>625</v>
      </c>
      <c r="O170" s="24"/>
      <c r="P170" s="24"/>
      <c r="Q170" s="24"/>
      <c r="R170" s="24"/>
      <c r="S170" s="46" t="str">
        <f>IF(Project_Tracker[[#This Row],[Project Lead]]="", "", IFERROR(VLOOKUP(Project_Tracker[[#This Row],[Project Lead]], Setting!C:D, 2, 0), ""))</f>
        <v>aldy_rienaldy@banpuindo.co.id</v>
      </c>
      <c r="T170" s="47"/>
      <c r="U170" s="37" t="str">
        <f>Project_Tracker[[#This Row],[Project Lead]]&amp;", "&amp;Project_Tracker[[#This Row],[Team Collaboration]]</f>
        <v>ALR, ASN, RPR</v>
      </c>
      <c r="V170" s="37"/>
      <c r="W170" s="37"/>
      <c r="X170" s="56"/>
      <c r="Y170" s="9" t="s">
        <v>0</v>
      </c>
      <c r="Z170" s="10"/>
      <c r="AA170" s="10"/>
      <c r="AB170" s="10"/>
      <c r="AC170" s="10">
        <v>2026</v>
      </c>
    </row>
    <row r="171" spans="1:29" s="116" customFormat="1" ht="71.400000000000006" x14ac:dyDescent="0.3">
      <c r="A171" s="17">
        <v>45</v>
      </c>
      <c r="B171" s="18" t="s">
        <v>29</v>
      </c>
      <c r="C171" s="118" t="s">
        <v>621</v>
      </c>
      <c r="D171" s="55" t="s">
        <v>636</v>
      </c>
      <c r="E171" s="126" t="s">
        <v>637</v>
      </c>
      <c r="F171" s="42" t="s">
        <v>33</v>
      </c>
      <c r="G171" s="42" t="s">
        <v>505</v>
      </c>
      <c r="H171" s="135">
        <v>0.4</v>
      </c>
      <c r="I171" s="65" t="s">
        <v>347</v>
      </c>
      <c r="J171" s="23">
        <v>46034</v>
      </c>
      <c r="K171" s="23"/>
      <c r="L171" s="24" t="s">
        <v>7</v>
      </c>
      <c r="M171" s="18" t="s">
        <v>624</v>
      </c>
      <c r="N171" s="18" t="s">
        <v>625</v>
      </c>
      <c r="O171" s="24"/>
      <c r="P171" s="24"/>
      <c r="Q171" s="24"/>
      <c r="R171" s="24"/>
      <c r="S171" s="46" t="str">
        <f>IF(Project_Tracker[[#This Row],[Project Lead]]="", "", IFERROR(VLOOKUP(Project_Tracker[[#This Row],[Project Lead]], Setting!C:D, 2, 0), ""))</f>
        <v>aldy_rienaldy@banpuindo.co.id</v>
      </c>
      <c r="T171" s="47"/>
      <c r="U171" s="37" t="str">
        <f>Project_Tracker[[#This Row],[Project Lead]]&amp;", "&amp;Project_Tracker[[#This Row],[Team Collaboration]]</f>
        <v>ALR, ASN, RPR</v>
      </c>
      <c r="V171" s="37"/>
      <c r="W171" s="37"/>
      <c r="X171" s="56"/>
      <c r="Y171" s="9" t="s">
        <v>0</v>
      </c>
      <c r="Z171" s="10"/>
      <c r="AA171" s="10"/>
      <c r="AB171" s="10"/>
      <c r="AC171" s="10">
        <v>2026</v>
      </c>
    </row>
    <row r="172" spans="1:29" s="116" customFormat="1" ht="295.8" x14ac:dyDescent="0.3">
      <c r="A172" s="17">
        <v>46</v>
      </c>
      <c r="B172" s="18" t="s">
        <v>29</v>
      </c>
      <c r="C172" s="118" t="s">
        <v>638</v>
      </c>
      <c r="D172" s="55" t="s">
        <v>639</v>
      </c>
      <c r="E172" s="126" t="s">
        <v>640</v>
      </c>
      <c r="F172" s="42" t="s">
        <v>510</v>
      </c>
      <c r="G172" s="42" t="s">
        <v>511</v>
      </c>
      <c r="H172" s="135">
        <v>0.9</v>
      </c>
      <c r="I172" s="65" t="s">
        <v>347</v>
      </c>
      <c r="J172" s="23"/>
      <c r="K172" s="23"/>
      <c r="L172" s="24" t="s">
        <v>7</v>
      </c>
      <c r="M172" s="18" t="s">
        <v>641</v>
      </c>
      <c r="N172" s="18" t="s">
        <v>642</v>
      </c>
      <c r="O172" s="20" t="s">
        <v>643</v>
      </c>
      <c r="P172" s="24"/>
      <c r="Q172" s="24"/>
      <c r="R172" s="24"/>
      <c r="S172" s="46" t="str">
        <f>IF(Project_Tracker[[#This Row],[Project Lead]]="", "", IFERROR(VLOOKUP(Project_Tracker[[#This Row],[Project Lead]], Setting!C:D, 2, 0), ""))</f>
        <v/>
      </c>
      <c r="T172" s="47"/>
      <c r="U172" s="37" t="str">
        <f>Project_Tracker[[#This Row],[Project Lead]]&amp;", "&amp;Project_Tracker[[#This Row],[Team Collaboration]]</f>
        <v>RPR, ASN, ALR</v>
      </c>
      <c r="V172" s="37"/>
      <c r="W172" s="37"/>
      <c r="X172" s="56"/>
      <c r="Y172" s="9" t="s">
        <v>0</v>
      </c>
      <c r="Z172" s="10"/>
      <c r="AA172" s="10"/>
      <c r="AB172" s="10"/>
      <c r="AC172" s="10">
        <v>2026</v>
      </c>
    </row>
    <row r="173" spans="1:29" s="116" customFormat="1" ht="10.199999999999999" x14ac:dyDescent="0.3">
      <c r="A173" s="17">
        <v>47</v>
      </c>
      <c r="B173" s="18" t="s">
        <v>29</v>
      </c>
      <c r="C173" s="118" t="s">
        <v>638</v>
      </c>
      <c r="D173" s="55" t="s">
        <v>644</v>
      </c>
      <c r="E173" s="126" t="s">
        <v>645</v>
      </c>
      <c r="F173" s="42" t="s">
        <v>510</v>
      </c>
      <c r="G173" s="42" t="s">
        <v>511</v>
      </c>
      <c r="H173" s="135">
        <v>0.1</v>
      </c>
      <c r="I173" s="65" t="s">
        <v>347</v>
      </c>
      <c r="J173" s="23"/>
      <c r="K173" s="23"/>
      <c r="L173" s="24" t="s">
        <v>7</v>
      </c>
      <c r="M173" s="21" t="s">
        <v>646</v>
      </c>
      <c r="N173" s="24"/>
      <c r="O173" s="24"/>
      <c r="P173" s="24"/>
      <c r="Q173" s="24"/>
      <c r="R173" s="24"/>
      <c r="S173" s="46" t="str">
        <f>IF(Project_Tracker[[#This Row],[Project Lead]]="", "", IFERROR(VLOOKUP(Project_Tracker[[#This Row],[Project Lead]], Setting!C:D, 2, 0), ""))</f>
        <v/>
      </c>
      <c r="T173" s="47"/>
      <c r="U173" s="37" t="str">
        <f>Project_Tracker[[#This Row],[Project Lead]]&amp;", "&amp;Project_Tracker[[#This Row],[Team Collaboration]]</f>
        <v>RPR, ASN, ALR</v>
      </c>
      <c r="V173" s="37"/>
      <c r="W173" s="37"/>
      <c r="X173" s="56"/>
      <c r="Y173" s="9" t="s">
        <v>0</v>
      </c>
      <c r="Z173" s="10"/>
      <c r="AA173" s="10"/>
      <c r="AB173" s="10"/>
      <c r="AC173" s="10">
        <v>2026</v>
      </c>
    </row>
    <row r="174" spans="1:29" s="116" customFormat="1" ht="51" x14ac:dyDescent="0.3">
      <c r="A174" s="17">
        <v>48</v>
      </c>
      <c r="B174" s="18" t="s">
        <v>29</v>
      </c>
      <c r="C174" s="118" t="s">
        <v>638</v>
      </c>
      <c r="D174" s="55" t="s">
        <v>647</v>
      </c>
      <c r="E174" s="126" t="s">
        <v>648</v>
      </c>
      <c r="F174" s="42" t="s">
        <v>510</v>
      </c>
      <c r="G174" s="42" t="s">
        <v>511</v>
      </c>
      <c r="H174" s="135">
        <v>0.3</v>
      </c>
      <c r="I174" s="65" t="s">
        <v>43</v>
      </c>
      <c r="J174" s="23"/>
      <c r="K174" s="23"/>
      <c r="L174" s="24" t="s">
        <v>7</v>
      </c>
      <c r="M174" s="18" t="s">
        <v>649</v>
      </c>
      <c r="N174" s="21" t="s">
        <v>650</v>
      </c>
      <c r="O174" s="24"/>
      <c r="P174" s="24"/>
      <c r="Q174" s="24"/>
      <c r="R174" s="24"/>
      <c r="S174" s="46" t="str">
        <f>IF(Project_Tracker[[#This Row],[Project Lead]]="", "", IFERROR(VLOOKUP(Project_Tracker[[#This Row],[Project Lead]], Setting!C:D, 2, 0), ""))</f>
        <v/>
      </c>
      <c r="T174" s="47"/>
      <c r="U174" s="37" t="str">
        <f>Project_Tracker[[#This Row],[Project Lead]]&amp;", "&amp;Project_Tracker[[#This Row],[Team Collaboration]]</f>
        <v>RPR, ASN, ALR</v>
      </c>
      <c r="V174" s="37"/>
      <c r="W174" s="37"/>
      <c r="X174" s="56"/>
      <c r="Y174" s="9" t="s">
        <v>0</v>
      </c>
      <c r="Z174" s="10"/>
      <c r="AA174" s="10"/>
      <c r="AB174" s="10"/>
      <c r="AC174" s="10">
        <v>2026</v>
      </c>
    </row>
    <row r="175" spans="1:29" s="116" customFormat="1" ht="10.199999999999999" x14ac:dyDescent="0.3">
      <c r="A175" s="17">
        <v>49</v>
      </c>
      <c r="B175" s="18" t="s">
        <v>29</v>
      </c>
      <c r="C175" s="95" t="s">
        <v>651</v>
      </c>
      <c r="D175" s="55" t="s">
        <v>652</v>
      </c>
      <c r="E175" s="127" t="s">
        <v>653</v>
      </c>
      <c r="F175" s="42" t="s">
        <v>70</v>
      </c>
      <c r="G175" s="42" t="s">
        <v>654</v>
      </c>
      <c r="H175" s="135">
        <v>0</v>
      </c>
      <c r="I175" s="65" t="s">
        <v>43</v>
      </c>
      <c r="J175" s="23"/>
      <c r="K175" s="23"/>
      <c r="L175" s="24" t="s">
        <v>7</v>
      </c>
      <c r="M175" s="21"/>
      <c r="N175" s="21"/>
      <c r="O175" s="24"/>
      <c r="P175" s="24"/>
      <c r="Q175" s="24"/>
      <c r="R175" s="24"/>
      <c r="S175" s="46" t="str">
        <f>IF(Project_Tracker[[#This Row],[Project Lead]]="", "", IFERROR(VLOOKUP(Project_Tracker[[#This Row],[Project Lead]], Setting!C:D, 2, 0), ""))</f>
        <v>dhany_indraswara@banpuindo.co.id</v>
      </c>
      <c r="T175" s="47"/>
      <c r="U175" s="37" t="str">
        <f>Project_Tracker[[#This Row],[Project Lead]]&amp;", "&amp;Project_Tracker[[#This Row],[Team Collaboration]]</f>
        <v>DHI, ASN, ALR, RPR, RAR</v>
      </c>
      <c r="V175" s="37"/>
      <c r="W175" s="37"/>
      <c r="X175" s="56"/>
      <c r="Y175" s="9" t="s">
        <v>0</v>
      </c>
      <c r="Z175" s="10"/>
      <c r="AA175" s="10"/>
      <c r="AB175" s="10"/>
      <c r="AC175" s="10">
        <v>2026</v>
      </c>
    </row>
    <row r="176" spans="1:29" s="116" customFormat="1" ht="102" x14ac:dyDescent="0.3">
      <c r="A176" s="17">
        <v>50</v>
      </c>
      <c r="B176" s="18" t="s">
        <v>29</v>
      </c>
      <c r="C176" s="95" t="s">
        <v>651</v>
      </c>
      <c r="D176" s="55" t="s">
        <v>655</v>
      </c>
      <c r="E176" s="148" t="s">
        <v>656</v>
      </c>
      <c r="F176" s="42" t="s">
        <v>70</v>
      </c>
      <c r="G176" s="42" t="s">
        <v>654</v>
      </c>
      <c r="H176" s="135">
        <v>0.6</v>
      </c>
      <c r="I176" s="65" t="s">
        <v>43</v>
      </c>
      <c r="J176" s="23"/>
      <c r="K176" s="23"/>
      <c r="L176" s="24" t="s">
        <v>7</v>
      </c>
      <c r="M176" s="18" t="s">
        <v>657</v>
      </c>
      <c r="N176" s="50" t="s">
        <v>658</v>
      </c>
      <c r="O176" s="24"/>
      <c r="P176" s="24"/>
      <c r="Q176" s="24"/>
      <c r="R176" s="24"/>
      <c r="S176" s="46" t="str">
        <f>IF(Project_Tracker[[#This Row],[Project Lead]]="", "", IFERROR(VLOOKUP(Project_Tracker[[#This Row],[Project Lead]], Setting!C:D, 2, 0), ""))</f>
        <v>dhany_indraswara@banpuindo.co.id</v>
      </c>
      <c r="T176" s="47"/>
      <c r="U176" s="37" t="str">
        <f>Project_Tracker[[#This Row],[Project Lead]]&amp;", "&amp;Project_Tracker[[#This Row],[Team Collaboration]]</f>
        <v>DHI, ASN, ALR, RPR, RAR</v>
      </c>
      <c r="V176" s="37"/>
      <c r="W176" s="37"/>
      <c r="X176" s="56"/>
      <c r="Y176" s="9" t="s">
        <v>0</v>
      </c>
      <c r="Z176" s="10"/>
      <c r="AA176" s="10"/>
      <c r="AB176" s="10"/>
      <c r="AC176" s="10">
        <v>2026</v>
      </c>
    </row>
    <row r="177" spans="1:29" s="116" customFormat="1" ht="10.199999999999999" x14ac:dyDescent="0.3">
      <c r="A177" s="17">
        <v>51</v>
      </c>
      <c r="B177" s="18" t="s">
        <v>29</v>
      </c>
      <c r="C177" s="95" t="s">
        <v>659</v>
      </c>
      <c r="D177" s="55" t="s">
        <v>660</v>
      </c>
      <c r="E177" s="124" t="s">
        <v>661</v>
      </c>
      <c r="F177" s="42" t="s">
        <v>33</v>
      </c>
      <c r="G177" s="42" t="s">
        <v>505</v>
      </c>
      <c r="H177" s="135">
        <v>0.1</v>
      </c>
      <c r="I177" s="65" t="s">
        <v>411</v>
      </c>
      <c r="J177" s="23">
        <v>46073</v>
      </c>
      <c r="K177" s="23"/>
      <c r="L177" s="24" t="s">
        <v>7</v>
      </c>
      <c r="M177" s="18" t="s">
        <v>662</v>
      </c>
      <c r="N177" s="21" t="s">
        <v>663</v>
      </c>
      <c r="O177" s="24"/>
      <c r="P177" s="24"/>
      <c r="Q177" s="24"/>
      <c r="R177" s="24"/>
      <c r="S177" s="46" t="str">
        <f>IF(Project_Tracker[[#This Row],[Project Lead]]="", "", IFERROR(VLOOKUP(Project_Tracker[[#This Row],[Project Lead]], Setting!C:D, 2, 0), ""))</f>
        <v>aldy_rienaldy@banpuindo.co.id</v>
      </c>
      <c r="T177" s="47"/>
      <c r="U177" s="37" t="str">
        <f>Project_Tracker[[#This Row],[Project Lead]]&amp;", "&amp;Project_Tracker[[#This Row],[Team Collaboration]]</f>
        <v>ALR, ASN, RPR</v>
      </c>
      <c r="V177" s="37"/>
      <c r="W177" s="37"/>
      <c r="X177" s="56"/>
      <c r="Y177" s="9" t="s">
        <v>549</v>
      </c>
      <c r="Z177" s="10"/>
      <c r="AA177" s="10"/>
      <c r="AB177" s="10"/>
      <c r="AC177" s="10">
        <v>2026</v>
      </c>
    </row>
    <row r="178" spans="1:29" s="116" customFormat="1" ht="71.400000000000006" x14ac:dyDescent="0.3">
      <c r="A178" s="17">
        <v>52</v>
      </c>
      <c r="B178" s="18" t="s">
        <v>29</v>
      </c>
      <c r="C178" s="95" t="s">
        <v>659</v>
      </c>
      <c r="D178" s="55" t="s">
        <v>664</v>
      </c>
      <c r="E178" s="124" t="s">
        <v>665</v>
      </c>
      <c r="F178" s="42" t="s">
        <v>33</v>
      </c>
      <c r="G178" s="42" t="s">
        <v>505</v>
      </c>
      <c r="H178" s="135">
        <v>0.9</v>
      </c>
      <c r="I178" s="65" t="s">
        <v>43</v>
      </c>
      <c r="J178" s="23">
        <v>46073</v>
      </c>
      <c r="K178" s="23"/>
      <c r="L178" s="24" t="s">
        <v>7</v>
      </c>
      <c r="M178" s="18" t="s">
        <v>666</v>
      </c>
      <c r="N178" s="18" t="s">
        <v>667</v>
      </c>
      <c r="O178" s="24"/>
      <c r="P178" s="24"/>
      <c r="Q178" s="24"/>
      <c r="R178" s="24"/>
      <c r="S178" s="46" t="str">
        <f>IF(Project_Tracker[[#This Row],[Project Lead]]="", "", IFERROR(VLOOKUP(Project_Tracker[[#This Row],[Project Lead]], Setting!C:D, 2, 0), ""))</f>
        <v>aldy_rienaldy@banpuindo.co.id</v>
      </c>
      <c r="T178" s="47"/>
      <c r="U178" s="37" t="str">
        <f>Project_Tracker[[#This Row],[Project Lead]]&amp;", "&amp;Project_Tracker[[#This Row],[Team Collaboration]]</f>
        <v>ALR, ASN, RPR</v>
      </c>
      <c r="V178" s="37"/>
      <c r="W178" s="37"/>
      <c r="X178" s="56"/>
      <c r="Y178" s="9" t="s">
        <v>0</v>
      </c>
      <c r="Z178" s="10"/>
      <c r="AA178" s="10"/>
      <c r="AB178" s="10"/>
      <c r="AC178" s="10">
        <v>2026</v>
      </c>
    </row>
    <row r="179" spans="1:29" s="116" customFormat="1" ht="21" customHeight="1" x14ac:dyDescent="0.3">
      <c r="A179" s="17">
        <v>53</v>
      </c>
      <c r="B179" s="18" t="s">
        <v>29</v>
      </c>
      <c r="C179" s="95" t="s">
        <v>659</v>
      </c>
      <c r="D179" s="55" t="s">
        <v>668</v>
      </c>
      <c r="E179" s="124" t="s">
        <v>669</v>
      </c>
      <c r="F179" s="42" t="s">
        <v>510</v>
      </c>
      <c r="G179" s="42" t="s">
        <v>511</v>
      </c>
      <c r="H179" s="135">
        <v>0</v>
      </c>
      <c r="I179" s="65" t="s">
        <v>43</v>
      </c>
      <c r="J179" s="23"/>
      <c r="K179" s="23"/>
      <c r="L179" s="24" t="s">
        <v>44</v>
      </c>
      <c r="M179" s="24"/>
      <c r="N179" s="24"/>
      <c r="O179" s="24"/>
      <c r="P179" s="24"/>
      <c r="Q179" s="24"/>
      <c r="R179" s="24"/>
      <c r="S179" s="46" t="str">
        <f>IF(Project_Tracker[[#This Row],[Project Lead]]="", "", IFERROR(VLOOKUP(Project_Tracker[[#This Row],[Project Lead]], Setting!C:D, 2, 0), ""))</f>
        <v/>
      </c>
      <c r="T179" s="47"/>
      <c r="U179" s="37" t="str">
        <f>Project_Tracker[[#This Row],[Project Lead]]&amp;", "&amp;Project_Tracker[[#This Row],[Team Collaboration]]</f>
        <v>RPR, ASN, ALR</v>
      </c>
      <c r="V179" s="37"/>
      <c r="W179" s="37"/>
      <c r="X179" s="56"/>
      <c r="Y179" s="9" t="s">
        <v>0</v>
      </c>
      <c r="Z179" s="10"/>
      <c r="AA179" s="10"/>
      <c r="AB179" s="10"/>
      <c r="AC179" s="10">
        <v>2026</v>
      </c>
    </row>
    <row r="180" spans="1:29" s="116" customFormat="1" ht="40.799999999999997" x14ac:dyDescent="0.3">
      <c r="A180" s="17">
        <v>54</v>
      </c>
      <c r="B180" s="18" t="s">
        <v>29</v>
      </c>
      <c r="C180" s="95" t="s">
        <v>659</v>
      </c>
      <c r="D180" s="55" t="s">
        <v>670</v>
      </c>
      <c r="E180" s="127" t="s">
        <v>671</v>
      </c>
      <c r="F180" s="42" t="s">
        <v>33</v>
      </c>
      <c r="G180" s="42" t="s">
        <v>505</v>
      </c>
      <c r="H180" s="135">
        <v>1</v>
      </c>
      <c r="I180" s="65" t="s">
        <v>43</v>
      </c>
      <c r="J180" s="23">
        <v>46073</v>
      </c>
      <c r="K180" s="23"/>
      <c r="L180" s="24" t="s">
        <v>7</v>
      </c>
      <c r="M180" s="18" t="s">
        <v>672</v>
      </c>
      <c r="N180" s="18"/>
      <c r="O180" s="24"/>
      <c r="P180" s="24"/>
      <c r="Q180" s="24"/>
      <c r="R180" s="24"/>
      <c r="S180" s="46" t="str">
        <f>IF(Project_Tracker[[#This Row],[Project Lead]]="", "", IFERROR(VLOOKUP(Project_Tracker[[#This Row],[Project Lead]], Setting!C:D, 2, 0), ""))</f>
        <v>aldy_rienaldy@banpuindo.co.id</v>
      </c>
      <c r="T180" s="47"/>
      <c r="U180" s="37" t="str">
        <f>Project_Tracker[[#This Row],[Project Lead]]&amp;", "&amp;Project_Tracker[[#This Row],[Team Collaboration]]</f>
        <v>ALR, ASN, RPR</v>
      </c>
      <c r="V180" s="37"/>
      <c r="W180" s="37"/>
      <c r="X180" s="56"/>
      <c r="Y180" s="138" t="s">
        <v>0</v>
      </c>
      <c r="Z180" s="10"/>
      <c r="AA180" s="10"/>
      <c r="AB180" s="10"/>
      <c r="AC180" s="10">
        <v>2026</v>
      </c>
    </row>
    <row r="181" spans="1:29" s="116" customFormat="1" ht="10.199999999999999" x14ac:dyDescent="0.3">
      <c r="A181" s="17">
        <v>55</v>
      </c>
      <c r="B181" s="18" t="s">
        <v>29</v>
      </c>
      <c r="C181" s="95" t="s">
        <v>659</v>
      </c>
      <c r="D181" s="55" t="s">
        <v>673</v>
      </c>
      <c r="E181" s="128" t="s">
        <v>674</v>
      </c>
      <c r="F181" s="42" t="s">
        <v>510</v>
      </c>
      <c r="G181" s="134" t="s">
        <v>511</v>
      </c>
      <c r="H181" s="135">
        <v>0</v>
      </c>
      <c r="I181" s="65" t="s">
        <v>411</v>
      </c>
      <c r="J181" s="23"/>
      <c r="K181" s="23"/>
      <c r="L181" s="24" t="s">
        <v>44</v>
      </c>
      <c r="M181" s="24"/>
      <c r="N181" s="24"/>
      <c r="O181" s="24"/>
      <c r="P181" s="24"/>
      <c r="Q181" s="24"/>
      <c r="R181" s="24"/>
      <c r="S181" s="46" t="str">
        <f>IF(Project_Tracker[[#This Row],[Project Lead]]="", "", IFERROR(VLOOKUP(Project_Tracker[[#This Row],[Project Lead]], Setting!C:D, 2, 0), ""))</f>
        <v/>
      </c>
      <c r="T181" s="47"/>
      <c r="U181" s="37" t="str">
        <f>Project_Tracker[[#This Row],[Project Lead]]&amp;", "&amp;Project_Tracker[[#This Row],[Team Collaboration]]</f>
        <v>RPR, ASN, ALR</v>
      </c>
      <c r="V181" s="37"/>
      <c r="W181" s="37"/>
      <c r="X181" s="56"/>
      <c r="Y181" s="138" t="s">
        <v>0</v>
      </c>
      <c r="Z181" s="10"/>
      <c r="AA181" s="10"/>
      <c r="AB181" s="10"/>
      <c r="AC181" s="10">
        <v>2026</v>
      </c>
    </row>
    <row r="182" spans="1:29" s="116" customFormat="1" ht="20.399999999999999" x14ac:dyDescent="0.3">
      <c r="A182" s="17">
        <v>56</v>
      </c>
      <c r="B182" s="18" t="s">
        <v>29</v>
      </c>
      <c r="C182" s="95" t="s">
        <v>675</v>
      </c>
      <c r="D182" s="55" t="s">
        <v>676</v>
      </c>
      <c r="E182" s="129" t="s">
        <v>677</v>
      </c>
      <c r="F182" s="42" t="s">
        <v>33</v>
      </c>
      <c r="G182" s="42" t="s">
        <v>510</v>
      </c>
      <c r="H182" s="135">
        <v>0</v>
      </c>
      <c r="I182" s="65" t="s">
        <v>43</v>
      </c>
      <c r="J182" s="23"/>
      <c r="K182" s="23"/>
      <c r="L182" s="24" t="s">
        <v>44</v>
      </c>
      <c r="M182" s="24"/>
      <c r="N182" s="24"/>
      <c r="O182" s="24"/>
      <c r="P182" s="24"/>
      <c r="Q182" s="24"/>
      <c r="R182" s="24"/>
      <c r="S182" s="46" t="str">
        <f>IF(Project_Tracker[[#This Row],[Project Lead]]="", "", IFERROR(VLOOKUP(Project_Tracker[[#This Row],[Project Lead]], Setting!C:D, 2, 0), ""))</f>
        <v>aldy_rienaldy@banpuindo.co.id</v>
      </c>
      <c r="T182" s="47"/>
      <c r="U182" s="37" t="str">
        <f>Project_Tracker[[#This Row],[Project Lead]]&amp;", "&amp;Project_Tracker[[#This Row],[Team Collaboration]]</f>
        <v>ALR, RPR</v>
      </c>
      <c r="V182" s="37"/>
      <c r="W182" s="37"/>
      <c r="X182" s="56"/>
      <c r="Y182" s="9" t="s">
        <v>549</v>
      </c>
      <c r="Z182" s="10"/>
      <c r="AA182" s="10"/>
      <c r="AB182" s="10"/>
      <c r="AC182" s="10">
        <v>2026</v>
      </c>
    </row>
    <row r="183" spans="1:29" s="116" customFormat="1" ht="20.399999999999999" x14ac:dyDescent="0.3">
      <c r="A183" s="17">
        <v>57</v>
      </c>
      <c r="B183" s="18" t="s">
        <v>29</v>
      </c>
      <c r="C183" s="95" t="s">
        <v>675</v>
      </c>
      <c r="D183" s="55" t="s">
        <v>678</v>
      </c>
      <c r="E183" s="129" t="s">
        <v>679</v>
      </c>
      <c r="F183" s="42" t="s">
        <v>510</v>
      </c>
      <c r="G183" s="42" t="s">
        <v>33</v>
      </c>
      <c r="H183" s="135">
        <v>0</v>
      </c>
      <c r="I183" s="65" t="s">
        <v>411</v>
      </c>
      <c r="J183" s="23"/>
      <c r="K183" s="23"/>
      <c r="L183" s="24" t="s">
        <v>44</v>
      </c>
      <c r="M183" s="24"/>
      <c r="N183" s="24"/>
      <c r="O183" s="24"/>
      <c r="P183" s="24"/>
      <c r="Q183" s="24"/>
      <c r="R183" s="24"/>
      <c r="S183" s="46" t="str">
        <f>IF(Project_Tracker[[#This Row],[Project Lead]]="", "", IFERROR(VLOOKUP(Project_Tracker[[#This Row],[Project Lead]], Setting!C:D, 2, 0), ""))</f>
        <v/>
      </c>
      <c r="T183" s="47"/>
      <c r="U183" s="37" t="str">
        <f>Project_Tracker[[#This Row],[Project Lead]]&amp;", "&amp;Project_Tracker[[#This Row],[Team Collaboration]]</f>
        <v>RPR, ALR</v>
      </c>
      <c r="V183" s="37"/>
      <c r="W183" s="37"/>
      <c r="X183" s="56"/>
      <c r="Y183" s="9" t="s">
        <v>0</v>
      </c>
      <c r="Z183" s="10"/>
      <c r="AA183" s="10"/>
      <c r="AB183" s="10"/>
      <c r="AC183" s="10">
        <v>2026</v>
      </c>
    </row>
    <row r="184" spans="1:29" s="116" customFormat="1" ht="10.199999999999999" x14ac:dyDescent="0.3">
      <c r="A184" s="17">
        <v>58</v>
      </c>
      <c r="B184" s="18" t="s">
        <v>29</v>
      </c>
      <c r="C184" s="95" t="s">
        <v>680</v>
      </c>
      <c r="D184" s="55" t="s">
        <v>681</v>
      </c>
      <c r="E184" s="129" t="s">
        <v>682</v>
      </c>
      <c r="F184" s="42" t="s">
        <v>33</v>
      </c>
      <c r="G184" s="42" t="s">
        <v>510</v>
      </c>
      <c r="H184" s="135">
        <v>0</v>
      </c>
      <c r="I184" s="65" t="s">
        <v>411</v>
      </c>
      <c r="J184" s="23"/>
      <c r="K184" s="23"/>
      <c r="L184" s="24" t="s">
        <v>44</v>
      </c>
      <c r="M184" s="24"/>
      <c r="N184" s="24"/>
      <c r="O184" s="24"/>
      <c r="P184" s="24"/>
      <c r="Q184" s="24"/>
      <c r="R184" s="24"/>
      <c r="S184" s="46" t="str">
        <f>IF(Project_Tracker[[#This Row],[Project Lead]]="", "", IFERROR(VLOOKUP(Project_Tracker[[#This Row],[Project Lead]], Setting!C:D, 2, 0), ""))</f>
        <v>aldy_rienaldy@banpuindo.co.id</v>
      </c>
      <c r="T184" s="47"/>
      <c r="U184" s="37" t="str">
        <f>Project_Tracker[[#This Row],[Project Lead]]&amp;", "&amp;Project_Tracker[[#This Row],[Team Collaboration]]</f>
        <v>ALR, RPR</v>
      </c>
      <c r="V184" s="37"/>
      <c r="W184" s="37"/>
      <c r="X184" s="56"/>
      <c r="Y184" s="9" t="s">
        <v>0</v>
      </c>
      <c r="Z184" s="10"/>
      <c r="AA184" s="10"/>
      <c r="AB184" s="10"/>
      <c r="AC184" s="10">
        <v>2026</v>
      </c>
    </row>
    <row r="185" spans="1:29" s="116" customFormat="1" ht="10.199999999999999" x14ac:dyDescent="0.3">
      <c r="A185" s="17">
        <v>59</v>
      </c>
      <c r="B185" s="18" t="s">
        <v>29</v>
      </c>
      <c r="C185" s="95" t="s">
        <v>680</v>
      </c>
      <c r="D185" s="55" t="s">
        <v>683</v>
      </c>
      <c r="E185" s="129" t="s">
        <v>684</v>
      </c>
      <c r="F185" s="42" t="s">
        <v>33</v>
      </c>
      <c r="G185" s="42" t="s">
        <v>510</v>
      </c>
      <c r="H185" s="135">
        <v>0</v>
      </c>
      <c r="I185" s="65" t="s">
        <v>411</v>
      </c>
      <c r="J185" s="23"/>
      <c r="K185" s="23"/>
      <c r="L185" s="24" t="s">
        <v>44</v>
      </c>
      <c r="M185" s="24"/>
      <c r="N185" s="24"/>
      <c r="O185" s="24"/>
      <c r="P185" s="24"/>
      <c r="Q185" s="24"/>
      <c r="R185" s="24"/>
      <c r="S185" s="46" t="str">
        <f>IF(Project_Tracker[[#This Row],[Project Lead]]="", "", IFERROR(VLOOKUP(Project_Tracker[[#This Row],[Project Lead]], Setting!C:D, 2, 0), ""))</f>
        <v>aldy_rienaldy@banpuindo.co.id</v>
      </c>
      <c r="T185" s="47"/>
      <c r="U185" s="37" t="str">
        <f>Project_Tracker[[#This Row],[Project Lead]]&amp;", "&amp;Project_Tracker[[#This Row],[Team Collaboration]]</f>
        <v>ALR, RPR</v>
      </c>
      <c r="V185" s="37"/>
      <c r="W185" s="37"/>
      <c r="X185" s="56"/>
      <c r="Y185" s="9" t="s">
        <v>0</v>
      </c>
      <c r="Z185" s="10"/>
      <c r="AA185" s="10"/>
      <c r="AB185" s="10"/>
      <c r="AC185" s="10">
        <v>2026</v>
      </c>
    </row>
    <row r="186" spans="1:29" s="116" customFormat="1" ht="51" x14ac:dyDescent="0.3">
      <c r="A186" s="17">
        <v>60</v>
      </c>
      <c r="B186" s="18" t="s">
        <v>29</v>
      </c>
      <c r="C186" s="95" t="s">
        <v>680</v>
      </c>
      <c r="D186" s="55" t="s">
        <v>685</v>
      </c>
      <c r="E186" s="129" t="s">
        <v>686</v>
      </c>
      <c r="F186" s="42" t="s">
        <v>33</v>
      </c>
      <c r="G186" s="42" t="s">
        <v>505</v>
      </c>
      <c r="H186" s="135">
        <v>0.3</v>
      </c>
      <c r="I186" s="65" t="s">
        <v>347</v>
      </c>
      <c r="J186" s="23">
        <v>46049</v>
      </c>
      <c r="K186" s="23"/>
      <c r="L186" s="24" t="s">
        <v>7</v>
      </c>
      <c r="M186" s="18" t="s">
        <v>687</v>
      </c>
      <c r="N186" s="18" t="s">
        <v>688</v>
      </c>
      <c r="O186" s="24"/>
      <c r="P186" s="24"/>
      <c r="Q186" s="24"/>
      <c r="R186" s="24"/>
      <c r="S186" s="46" t="str">
        <f>IF(Project_Tracker[[#This Row],[Project Lead]]="", "", IFERROR(VLOOKUP(Project_Tracker[[#This Row],[Project Lead]], Setting!C:D, 2, 0), ""))</f>
        <v>aldy_rienaldy@banpuindo.co.id</v>
      </c>
      <c r="T186" s="47"/>
      <c r="U186" s="37" t="str">
        <f>Project_Tracker[[#This Row],[Project Lead]]&amp;", "&amp;Project_Tracker[[#This Row],[Team Collaboration]]</f>
        <v>ALR, ASN, RPR</v>
      </c>
      <c r="V186" s="37"/>
      <c r="W186" s="37"/>
      <c r="X186" s="56"/>
      <c r="Y186" s="9" t="s">
        <v>0</v>
      </c>
      <c r="Z186" s="140">
        <v>46076</v>
      </c>
      <c r="AA186" s="141">
        <v>46100</v>
      </c>
      <c r="AB186" s="10"/>
      <c r="AC186" s="10">
        <v>2026</v>
      </c>
    </row>
    <row r="187" spans="1:29" s="116" customFormat="1" ht="102" x14ac:dyDescent="0.3">
      <c r="A187" s="17">
        <v>61</v>
      </c>
      <c r="B187" s="18" t="s">
        <v>29</v>
      </c>
      <c r="C187" s="95" t="s">
        <v>680</v>
      </c>
      <c r="D187" s="55" t="s">
        <v>689</v>
      </c>
      <c r="E187" s="128" t="s">
        <v>690</v>
      </c>
      <c r="F187" s="42" t="s">
        <v>510</v>
      </c>
      <c r="G187" s="134" t="s">
        <v>33</v>
      </c>
      <c r="H187" s="135">
        <v>0.9</v>
      </c>
      <c r="I187" s="65" t="s">
        <v>43</v>
      </c>
      <c r="J187" s="23"/>
      <c r="K187" s="23"/>
      <c r="L187" s="24" t="s">
        <v>7</v>
      </c>
      <c r="M187" s="18" t="s">
        <v>691</v>
      </c>
      <c r="N187" s="18" t="s">
        <v>692</v>
      </c>
      <c r="O187" s="24"/>
      <c r="P187" s="24"/>
      <c r="Q187" s="24"/>
      <c r="R187" s="24"/>
      <c r="S187" s="46" t="str">
        <f>IF(Project_Tracker[[#This Row],[Project Lead]]="", "", IFERROR(VLOOKUP(Project_Tracker[[#This Row],[Project Lead]], Setting!C:D, 2, 0), ""))</f>
        <v/>
      </c>
      <c r="T187" s="47"/>
      <c r="U187" s="37" t="str">
        <f>Project_Tracker[[#This Row],[Project Lead]]&amp;", "&amp;Project_Tracker[[#This Row],[Team Collaboration]]</f>
        <v>RPR, ALR</v>
      </c>
      <c r="V187" s="37"/>
      <c r="W187" s="37"/>
      <c r="X187" s="56"/>
      <c r="Y187" s="138" t="s">
        <v>0</v>
      </c>
      <c r="Z187" s="10"/>
      <c r="AA187" s="10"/>
      <c r="AB187" s="10"/>
      <c r="AC187" s="10">
        <v>2026</v>
      </c>
    </row>
    <row r="188" spans="1:29" s="116" customFormat="1" ht="30" customHeight="1" x14ac:dyDescent="0.3">
      <c r="A188" s="17">
        <v>62</v>
      </c>
      <c r="B188" s="18" t="s">
        <v>29</v>
      </c>
      <c r="C188" s="95" t="s">
        <v>680</v>
      </c>
      <c r="D188" s="55" t="s">
        <v>693</v>
      </c>
      <c r="E188" s="124" t="s">
        <v>694</v>
      </c>
      <c r="F188" s="42" t="s">
        <v>33</v>
      </c>
      <c r="G188" s="42" t="s">
        <v>510</v>
      </c>
      <c r="H188" s="135">
        <v>0</v>
      </c>
      <c r="I188" s="65" t="s">
        <v>347</v>
      </c>
      <c r="J188" s="23"/>
      <c r="K188" s="23"/>
      <c r="L188" s="24" t="s">
        <v>44</v>
      </c>
      <c r="M188" s="24"/>
      <c r="N188" s="24"/>
      <c r="O188" s="24"/>
      <c r="P188" s="24"/>
      <c r="Q188" s="24"/>
      <c r="R188" s="24"/>
      <c r="S188" s="46" t="str">
        <f>IF(Project_Tracker[[#This Row],[Project Lead]]="", "", IFERROR(VLOOKUP(Project_Tracker[[#This Row],[Project Lead]], Setting!C:D, 2, 0), ""))</f>
        <v>aldy_rienaldy@banpuindo.co.id</v>
      </c>
      <c r="T188" s="47"/>
      <c r="U188" s="37" t="str">
        <f>Project_Tracker[[#This Row],[Project Lead]]&amp;", "&amp;Project_Tracker[[#This Row],[Team Collaboration]]</f>
        <v>ALR, RPR</v>
      </c>
      <c r="V188" s="37"/>
      <c r="W188" s="37"/>
      <c r="X188" s="56"/>
      <c r="Y188" s="138" t="s">
        <v>0</v>
      </c>
      <c r="Z188" s="10"/>
      <c r="AA188" s="10"/>
      <c r="AB188" s="10"/>
      <c r="AC188" s="10">
        <v>2026</v>
      </c>
    </row>
    <row r="189" spans="1:29" s="116" customFormat="1" ht="10.199999999999999" x14ac:dyDescent="0.3">
      <c r="A189" s="17">
        <v>63</v>
      </c>
      <c r="B189" s="18" t="s">
        <v>29</v>
      </c>
      <c r="C189" s="95" t="s">
        <v>680</v>
      </c>
      <c r="D189" s="55" t="s">
        <v>695</v>
      </c>
      <c r="E189" s="128" t="s">
        <v>696</v>
      </c>
      <c r="F189" s="42" t="s">
        <v>85</v>
      </c>
      <c r="G189" s="134" t="s">
        <v>697</v>
      </c>
      <c r="H189" s="135">
        <v>0</v>
      </c>
      <c r="I189" s="65" t="s">
        <v>411</v>
      </c>
      <c r="J189" s="23"/>
      <c r="K189" s="23"/>
      <c r="L189" s="24" t="s">
        <v>44</v>
      </c>
      <c r="M189" s="24"/>
      <c r="N189" s="24"/>
      <c r="O189" s="24"/>
      <c r="P189" s="24"/>
      <c r="Q189" s="24"/>
      <c r="R189" s="24"/>
      <c r="S189" s="46" t="str">
        <f>IF(Project_Tracker[[#This Row],[Project Lead]]="", "", IFERROR(VLOOKUP(Project_Tracker[[#This Row],[Project Lead]], Setting!C:D, 2, 0), ""))</f>
        <v>andri_s@banpuindo.co.id</v>
      </c>
      <c r="T189" s="47"/>
      <c r="U189" s="37" t="str">
        <f>Project_Tracker[[#This Row],[Project Lead]]&amp;", "&amp;Project_Tracker[[#This Row],[Team Collaboration]]</f>
        <v>ASN, ALR, RPR</v>
      </c>
      <c r="V189" s="37"/>
      <c r="W189" s="37"/>
      <c r="X189" s="56"/>
      <c r="Y189" s="138" t="s">
        <v>0</v>
      </c>
      <c r="Z189" s="10"/>
      <c r="AA189" s="10"/>
      <c r="AB189" s="10"/>
      <c r="AC189" s="10">
        <v>2026</v>
      </c>
    </row>
    <row r="190" spans="1:29" s="116" customFormat="1" ht="10.199999999999999" x14ac:dyDescent="0.3">
      <c r="A190" s="17">
        <v>64</v>
      </c>
      <c r="B190" s="18" t="s">
        <v>29</v>
      </c>
      <c r="C190" s="95" t="s">
        <v>680</v>
      </c>
      <c r="D190" s="55" t="s">
        <v>698</v>
      </c>
      <c r="E190" s="128" t="s">
        <v>699</v>
      </c>
      <c r="F190" s="42" t="s">
        <v>510</v>
      </c>
      <c r="G190" s="134" t="s">
        <v>33</v>
      </c>
      <c r="H190" s="135">
        <v>0.3</v>
      </c>
      <c r="I190" s="65" t="s">
        <v>43</v>
      </c>
      <c r="J190" s="23"/>
      <c r="K190" s="23"/>
      <c r="L190" s="24" t="s">
        <v>7</v>
      </c>
      <c r="M190" s="21" t="s">
        <v>700</v>
      </c>
      <c r="N190" s="24"/>
      <c r="O190" s="24"/>
      <c r="P190" s="24"/>
      <c r="Q190" s="24"/>
      <c r="R190" s="24"/>
      <c r="S190" s="46" t="str">
        <f>IF(Project_Tracker[[#This Row],[Project Lead]]="", "", IFERROR(VLOOKUP(Project_Tracker[[#This Row],[Project Lead]], Setting!C:D, 2, 0), ""))</f>
        <v/>
      </c>
      <c r="T190" s="47"/>
      <c r="U190" s="37" t="str">
        <f>Project_Tracker[[#This Row],[Project Lead]]&amp;", "&amp;Project_Tracker[[#This Row],[Team Collaboration]]</f>
        <v>RPR, ALR</v>
      </c>
      <c r="V190" s="37"/>
      <c r="W190" s="37"/>
      <c r="X190" s="56"/>
      <c r="Y190" s="138" t="s">
        <v>0</v>
      </c>
      <c r="Z190" s="10"/>
      <c r="AA190" s="10"/>
      <c r="AB190" s="10"/>
      <c r="AC190" s="10">
        <v>2026</v>
      </c>
    </row>
    <row r="191" spans="1:29" s="116" customFormat="1" ht="51" x14ac:dyDescent="0.3">
      <c r="A191" s="17">
        <v>65</v>
      </c>
      <c r="B191" s="18" t="s">
        <v>29</v>
      </c>
      <c r="C191" s="119" t="s">
        <v>701</v>
      </c>
      <c r="D191" s="55">
        <v>9</v>
      </c>
      <c r="E191" s="130" t="s">
        <v>701</v>
      </c>
      <c r="F191" s="42" t="s">
        <v>510</v>
      </c>
      <c r="G191" s="134" t="s">
        <v>33</v>
      </c>
      <c r="H191" s="135">
        <v>0.2</v>
      </c>
      <c r="I191" s="65" t="s">
        <v>43</v>
      </c>
      <c r="J191" s="23"/>
      <c r="K191" s="23"/>
      <c r="L191" s="24" t="s">
        <v>7</v>
      </c>
      <c r="M191" s="18" t="s">
        <v>702</v>
      </c>
      <c r="N191" s="24" t="s">
        <v>703</v>
      </c>
      <c r="O191" s="24"/>
      <c r="P191" s="24"/>
      <c r="Q191" s="24"/>
      <c r="R191" s="24"/>
      <c r="S191" s="46" t="str">
        <f>IF(Project_Tracker[[#This Row],[Project Lead]]="", "", IFERROR(VLOOKUP(Project_Tracker[[#This Row],[Project Lead]], Setting!C:D, 2, 0), ""))</f>
        <v/>
      </c>
      <c r="T191" s="47"/>
      <c r="U191" s="37" t="str">
        <f>Project_Tracker[[#This Row],[Project Lead]]&amp;", "&amp;Project_Tracker[[#This Row],[Team Collaboration]]</f>
        <v>RPR, ALR</v>
      </c>
      <c r="V191" s="37"/>
      <c r="W191" s="37"/>
      <c r="X191" s="56"/>
      <c r="Y191" s="138" t="s">
        <v>0</v>
      </c>
      <c r="Z191" s="10"/>
      <c r="AA191" s="10"/>
      <c r="AB191" s="10"/>
      <c r="AC191" s="10">
        <v>2026</v>
      </c>
    </row>
    <row r="192" spans="1:29" s="116" customFormat="1" ht="10.199999999999999" x14ac:dyDescent="0.3">
      <c r="A192" s="17">
        <v>66</v>
      </c>
      <c r="B192" s="18" t="s">
        <v>29</v>
      </c>
      <c r="C192" s="120" t="s">
        <v>704</v>
      </c>
      <c r="D192" s="55">
        <v>10</v>
      </c>
      <c r="E192" s="128" t="s">
        <v>704</v>
      </c>
      <c r="F192" s="42" t="s">
        <v>85</v>
      </c>
      <c r="G192" s="134" t="s">
        <v>697</v>
      </c>
      <c r="H192" s="135">
        <v>0</v>
      </c>
      <c r="I192" s="65" t="s">
        <v>43</v>
      </c>
      <c r="J192" s="23"/>
      <c r="K192" s="23"/>
      <c r="L192" s="24" t="s">
        <v>44</v>
      </c>
      <c r="M192" s="24"/>
      <c r="N192" s="24"/>
      <c r="O192" s="24"/>
      <c r="P192" s="24"/>
      <c r="Q192" s="24"/>
      <c r="R192" s="24"/>
      <c r="S192" s="46" t="str">
        <f>IF(Project_Tracker[[#This Row],[Project Lead]]="", "", IFERROR(VLOOKUP(Project_Tracker[[#This Row],[Project Lead]], Setting!C:D, 2, 0), ""))</f>
        <v>andri_s@banpuindo.co.id</v>
      </c>
      <c r="T192" s="47"/>
      <c r="U192" s="37" t="str">
        <f>Project_Tracker[[#This Row],[Project Lead]]&amp;", "&amp;Project_Tracker[[#This Row],[Team Collaboration]]</f>
        <v>ASN, ALR, RPR</v>
      </c>
      <c r="V192" s="37"/>
      <c r="W192" s="37"/>
      <c r="X192" s="56"/>
      <c r="Y192" s="138" t="s">
        <v>0</v>
      </c>
      <c r="Z192" s="10"/>
      <c r="AA192" s="10"/>
      <c r="AB192" s="10"/>
      <c r="AC192" s="10">
        <v>2026</v>
      </c>
    </row>
    <row r="193" spans="1:29" s="116" customFormat="1" ht="20.399999999999999" x14ac:dyDescent="0.3">
      <c r="A193" s="17">
        <v>67</v>
      </c>
      <c r="B193" s="18" t="s">
        <v>29</v>
      </c>
      <c r="C193" s="120" t="s">
        <v>705</v>
      </c>
      <c r="D193" s="55">
        <v>11</v>
      </c>
      <c r="E193" s="128" t="s">
        <v>705</v>
      </c>
      <c r="F193" s="42" t="s">
        <v>85</v>
      </c>
      <c r="G193" s="134" t="s">
        <v>706</v>
      </c>
      <c r="H193" s="135">
        <v>0</v>
      </c>
      <c r="I193" s="65" t="s">
        <v>43</v>
      </c>
      <c r="J193" s="23"/>
      <c r="K193" s="23"/>
      <c r="L193" s="24" t="s">
        <v>44</v>
      </c>
      <c r="M193" s="24"/>
      <c r="N193" s="24"/>
      <c r="O193" s="24"/>
      <c r="P193" s="24"/>
      <c r="Q193" s="24"/>
      <c r="R193" s="24"/>
      <c r="S193" s="46" t="str">
        <f>IF(Project_Tracker[[#This Row],[Project Lead]]="", "", IFERROR(VLOOKUP(Project_Tracker[[#This Row],[Project Lead]], Setting!C:D, 2, 0), ""))</f>
        <v>andri_s@banpuindo.co.id</v>
      </c>
      <c r="T193" s="47"/>
      <c r="U193" s="37" t="str">
        <f>Project_Tracker[[#This Row],[Project Lead]]&amp;", "&amp;Project_Tracker[[#This Row],[Team Collaboration]]</f>
        <v>ASN, , DHI, ALR, RPR</v>
      </c>
      <c r="V193" s="37"/>
      <c r="W193" s="37"/>
      <c r="X193" s="56"/>
      <c r="Y193" s="138" t="s">
        <v>0</v>
      </c>
      <c r="Z193" s="10"/>
      <c r="AA193" s="10"/>
      <c r="AB193" s="10"/>
      <c r="AC193" s="10">
        <v>2026</v>
      </c>
    </row>
    <row r="194" spans="1:29" s="116" customFormat="1" ht="20.399999999999999" x14ac:dyDescent="0.3">
      <c r="A194" s="17">
        <v>68</v>
      </c>
      <c r="B194" s="18" t="s">
        <v>707</v>
      </c>
      <c r="C194" s="121" t="s">
        <v>708</v>
      </c>
      <c r="D194" s="55">
        <v>1</v>
      </c>
      <c r="E194" s="124" t="s">
        <v>708</v>
      </c>
      <c r="F194" s="42" t="s">
        <v>85</v>
      </c>
      <c r="G194" s="42" t="s">
        <v>709</v>
      </c>
      <c r="H194" s="135">
        <v>0</v>
      </c>
      <c r="I194" s="137" t="s">
        <v>106</v>
      </c>
      <c r="J194" s="23"/>
      <c r="K194" s="23"/>
      <c r="L194" s="24" t="s">
        <v>44</v>
      </c>
      <c r="M194" s="24"/>
      <c r="N194" s="24"/>
      <c r="O194" s="24"/>
      <c r="P194" s="24"/>
      <c r="Q194" s="24"/>
      <c r="R194" s="24"/>
      <c r="S194" s="46" t="str">
        <f>IF(Project_Tracker[[#This Row],[Project Lead]]="", "", IFERROR(VLOOKUP(Project_Tracker[[#This Row],[Project Lead]], Setting!C:D, 2, 0), ""))</f>
        <v>andri_s@banpuindo.co.id</v>
      </c>
      <c r="T194" s="47"/>
      <c r="U194" s="37" t="str">
        <f>Project_Tracker[[#This Row],[Project Lead]]&amp;", "&amp;Project_Tracker[[#This Row],[Team Collaboration]]</f>
        <v>ASN, RAR,DHI</v>
      </c>
      <c r="V194" s="37"/>
      <c r="W194" s="37"/>
      <c r="X194" s="56"/>
      <c r="Y194" s="10"/>
      <c r="Z194" s="10"/>
      <c r="AA194" s="10"/>
      <c r="AB194" s="10"/>
      <c r="AC194" s="10">
        <v>2026</v>
      </c>
    </row>
    <row r="195" spans="1:29" s="116" customFormat="1" ht="10.199999999999999" x14ac:dyDescent="0.3">
      <c r="A195" s="17">
        <v>69</v>
      </c>
      <c r="B195" s="18" t="s">
        <v>707</v>
      </c>
      <c r="C195" s="121" t="s">
        <v>272</v>
      </c>
      <c r="D195" s="55">
        <v>2.1</v>
      </c>
      <c r="E195" s="131" t="s">
        <v>710</v>
      </c>
      <c r="F195" s="42" t="s">
        <v>540</v>
      </c>
      <c r="G195" s="42" t="s">
        <v>70</v>
      </c>
      <c r="H195" s="135">
        <v>0.8</v>
      </c>
      <c r="I195" s="137" t="s">
        <v>43</v>
      </c>
      <c r="J195" s="23"/>
      <c r="K195" s="23"/>
      <c r="L195" s="24" t="s">
        <v>44</v>
      </c>
      <c r="M195" s="21" t="s">
        <v>711</v>
      </c>
      <c r="N195" s="21" t="s">
        <v>712</v>
      </c>
      <c r="O195" s="24"/>
      <c r="P195" s="24"/>
      <c r="Q195" s="24"/>
      <c r="R195" s="24"/>
      <c r="S195" s="46" t="str">
        <f>IF(Project_Tracker[[#This Row],[Project Lead]]="", "", IFERROR(VLOOKUP(Project_Tracker[[#This Row],[Project Lead]], Setting!C:D, 2, 0), ""))</f>
        <v/>
      </c>
      <c r="T195" s="47"/>
      <c r="U195" s="37" t="str">
        <f>Project_Tracker[[#This Row],[Project Lead]]&amp;", "&amp;Project_Tracker[[#This Row],[Team Collaboration]]</f>
        <v>RAR, DHI</v>
      </c>
      <c r="V195" s="37"/>
      <c r="W195" s="37"/>
      <c r="X195" s="56"/>
      <c r="Y195" s="9" t="s">
        <v>713</v>
      </c>
      <c r="Z195" s="10"/>
      <c r="AA195" s="10"/>
      <c r="AB195" s="10"/>
      <c r="AC195" s="10">
        <v>2026</v>
      </c>
    </row>
    <row r="196" spans="1:29" s="116" customFormat="1" x14ac:dyDescent="0.3">
      <c r="A196" s="17">
        <v>70</v>
      </c>
      <c r="B196" s="18" t="s">
        <v>707</v>
      </c>
      <c r="C196" s="121" t="s">
        <v>272</v>
      </c>
      <c r="D196" s="55">
        <v>2.2000000000000002</v>
      </c>
      <c r="E196" s="131" t="s">
        <v>714</v>
      </c>
      <c r="F196" s="42" t="s">
        <v>70</v>
      </c>
      <c r="G196" s="42" t="s">
        <v>540</v>
      </c>
      <c r="H196" s="135">
        <v>0.5</v>
      </c>
      <c r="I196" s="137" t="s">
        <v>43</v>
      </c>
      <c r="J196" s="23"/>
      <c r="K196" s="23"/>
      <c r="L196" s="24" t="s">
        <v>7</v>
      </c>
      <c r="M196" s="24"/>
      <c r="N196" t="s">
        <v>715</v>
      </c>
      <c r="O196" s="24"/>
      <c r="P196" s="24"/>
      <c r="Q196" s="24"/>
      <c r="R196" s="24"/>
      <c r="S196" s="46" t="str">
        <f>IF(Project_Tracker[[#This Row],[Project Lead]]="", "", IFERROR(VLOOKUP(Project_Tracker[[#This Row],[Project Lead]], Setting!C:D, 2, 0), ""))</f>
        <v>dhany_indraswara@banpuindo.co.id</v>
      </c>
      <c r="T196" s="47"/>
      <c r="U196" s="37" t="str">
        <f>Project_Tracker[[#This Row],[Project Lead]]&amp;", "&amp;Project_Tracker[[#This Row],[Team Collaboration]]</f>
        <v>DHI, RAR</v>
      </c>
      <c r="V196" s="37"/>
      <c r="W196" s="37"/>
      <c r="X196" s="56"/>
      <c r="Y196" s="9" t="s">
        <v>713</v>
      </c>
      <c r="Z196" s="10"/>
      <c r="AA196" s="10"/>
      <c r="AB196" s="10"/>
      <c r="AC196" s="10">
        <v>2026</v>
      </c>
    </row>
    <row r="197" spans="1:29" s="116" customFormat="1" x14ac:dyDescent="0.3">
      <c r="A197" s="17">
        <v>71</v>
      </c>
      <c r="B197" s="18" t="s">
        <v>707</v>
      </c>
      <c r="C197" s="121" t="s">
        <v>272</v>
      </c>
      <c r="D197" s="55">
        <v>2.2999999999999998</v>
      </c>
      <c r="E197" s="131" t="s">
        <v>716</v>
      </c>
      <c r="F197" s="42" t="s">
        <v>70</v>
      </c>
      <c r="G197" s="42" t="s">
        <v>540</v>
      </c>
      <c r="H197" s="135">
        <v>0.5</v>
      </c>
      <c r="I197" s="137" t="s">
        <v>43</v>
      </c>
      <c r="J197" s="23"/>
      <c r="K197" s="23"/>
      <c r="L197" s="24" t="s">
        <v>7</v>
      </c>
      <c r="M197" s="24"/>
      <c r="N197" t="s">
        <v>715</v>
      </c>
      <c r="O197" s="24"/>
      <c r="P197" s="24"/>
      <c r="Q197" s="24"/>
      <c r="R197" s="24"/>
      <c r="S197" s="46" t="str">
        <f>IF(Project_Tracker[[#This Row],[Project Lead]]="", "", IFERROR(VLOOKUP(Project_Tracker[[#This Row],[Project Lead]], Setting!C:D, 2, 0), ""))</f>
        <v>dhany_indraswara@banpuindo.co.id</v>
      </c>
      <c r="T197" s="47"/>
      <c r="U197" s="37" t="str">
        <f>Project_Tracker[[#This Row],[Project Lead]]&amp;", "&amp;Project_Tracker[[#This Row],[Team Collaboration]]</f>
        <v>DHI, RAR</v>
      </c>
      <c r="V197" s="37"/>
      <c r="W197" s="37"/>
      <c r="X197" s="56"/>
      <c r="Y197" s="9" t="s">
        <v>713</v>
      </c>
      <c r="Z197" s="10"/>
      <c r="AA197" s="10"/>
      <c r="AB197" s="10"/>
      <c r="AC197" s="10">
        <v>2026</v>
      </c>
    </row>
    <row r="198" spans="1:29" s="116" customFormat="1" ht="10.199999999999999" x14ac:dyDescent="0.3">
      <c r="A198" s="17">
        <v>72</v>
      </c>
      <c r="B198" s="18" t="s">
        <v>707</v>
      </c>
      <c r="C198" s="121" t="s">
        <v>272</v>
      </c>
      <c r="D198" s="55">
        <v>2.4</v>
      </c>
      <c r="E198" s="146" t="s">
        <v>717</v>
      </c>
      <c r="F198" s="42" t="s">
        <v>540</v>
      </c>
      <c r="G198" s="42" t="s">
        <v>70</v>
      </c>
      <c r="H198" s="135">
        <v>0.5</v>
      </c>
      <c r="I198" s="137" t="s">
        <v>143</v>
      </c>
      <c r="J198" s="23"/>
      <c r="K198" s="23"/>
      <c r="L198" s="24" t="s">
        <v>718</v>
      </c>
      <c r="M198" s="21" t="s">
        <v>719</v>
      </c>
      <c r="N198" s="21" t="s">
        <v>720</v>
      </c>
      <c r="O198" s="24"/>
      <c r="P198" s="24"/>
      <c r="Q198" s="24"/>
      <c r="R198" s="24"/>
      <c r="S198" s="46" t="str">
        <f>IF(Project_Tracker[[#This Row],[Project Lead]]="", "", IFERROR(VLOOKUP(Project_Tracker[[#This Row],[Project Lead]], Setting!C:D, 2, 0), ""))</f>
        <v/>
      </c>
      <c r="T198" s="47"/>
      <c r="U198" s="37" t="str">
        <f>Project_Tracker[[#This Row],[Project Lead]]&amp;", "&amp;Project_Tracker[[#This Row],[Team Collaboration]]</f>
        <v>RAR, DHI</v>
      </c>
      <c r="V198" s="37"/>
      <c r="W198" s="37"/>
      <c r="X198" s="56"/>
      <c r="Y198" s="9" t="s">
        <v>713</v>
      </c>
      <c r="Z198" s="10"/>
      <c r="AA198" s="10"/>
      <c r="AB198" s="10"/>
      <c r="AC198" s="10">
        <v>2026</v>
      </c>
    </row>
    <row r="199" spans="1:29" s="116" customFormat="1" ht="10.199999999999999" x14ac:dyDescent="0.3">
      <c r="A199" s="17">
        <v>73</v>
      </c>
      <c r="B199" s="18" t="s">
        <v>707</v>
      </c>
      <c r="C199" s="121" t="s">
        <v>272</v>
      </c>
      <c r="D199" s="55">
        <v>2.5</v>
      </c>
      <c r="E199" s="146" t="s">
        <v>721</v>
      </c>
      <c r="F199" s="42" t="s">
        <v>540</v>
      </c>
      <c r="G199" s="42" t="s">
        <v>70</v>
      </c>
      <c r="H199" s="135">
        <v>0</v>
      </c>
      <c r="I199" s="137" t="s">
        <v>722</v>
      </c>
      <c r="J199" s="23"/>
      <c r="K199" s="23"/>
      <c r="L199" s="24" t="s">
        <v>44</v>
      </c>
      <c r="M199" s="24"/>
      <c r="N199" s="24"/>
      <c r="O199" s="24"/>
      <c r="P199" s="24"/>
      <c r="Q199" s="24"/>
      <c r="R199" s="24"/>
      <c r="S199" s="46" t="str">
        <f>IF(Project_Tracker[[#This Row],[Project Lead]]="", "", IFERROR(VLOOKUP(Project_Tracker[[#This Row],[Project Lead]], Setting!C:D, 2, 0), ""))</f>
        <v/>
      </c>
      <c r="T199" s="47"/>
      <c r="U199" s="37" t="str">
        <f>Project_Tracker[[#This Row],[Project Lead]]&amp;", "&amp;Project_Tracker[[#This Row],[Team Collaboration]]</f>
        <v>RAR, DHI</v>
      </c>
      <c r="V199" s="37"/>
      <c r="W199" s="37"/>
      <c r="X199" s="56"/>
      <c r="Y199" s="9" t="s">
        <v>713</v>
      </c>
      <c r="Z199" s="10"/>
      <c r="AA199" s="10"/>
      <c r="AB199" s="10"/>
      <c r="AC199" s="10">
        <v>2026</v>
      </c>
    </row>
    <row r="200" spans="1:29" s="116" customFormat="1" ht="10.199999999999999" x14ac:dyDescent="0.3">
      <c r="A200" s="17">
        <v>74</v>
      </c>
      <c r="B200" s="18" t="s">
        <v>707</v>
      </c>
      <c r="C200" s="121" t="s">
        <v>272</v>
      </c>
      <c r="D200" s="55">
        <v>2.6</v>
      </c>
      <c r="E200" s="146" t="s">
        <v>723</v>
      </c>
      <c r="F200" s="42" t="s">
        <v>540</v>
      </c>
      <c r="G200" s="42" t="s">
        <v>211</v>
      </c>
      <c r="H200" s="135">
        <v>0.8</v>
      </c>
      <c r="I200" s="137" t="s">
        <v>143</v>
      </c>
      <c r="J200" s="23"/>
      <c r="K200" s="23"/>
      <c r="L200" s="24" t="s">
        <v>44</v>
      </c>
      <c r="M200" s="21" t="s">
        <v>724</v>
      </c>
      <c r="N200" s="21" t="s">
        <v>725</v>
      </c>
      <c r="O200" s="24"/>
      <c r="P200" s="24"/>
      <c r="Q200" s="24"/>
      <c r="R200" s="24"/>
      <c r="S200" s="46" t="str">
        <f>IF(Project_Tracker[[#This Row],[Project Lead]]="", "", IFERROR(VLOOKUP(Project_Tracker[[#This Row],[Project Lead]], Setting!C:D, 2, 0), ""))</f>
        <v/>
      </c>
      <c r="T200" s="47"/>
      <c r="U200" s="37" t="str">
        <f>Project_Tracker[[#This Row],[Project Lead]]&amp;", "&amp;Project_Tracker[[#This Row],[Team Collaboration]]</f>
        <v>RAR, DHI, ALR</v>
      </c>
      <c r="V200" s="37"/>
      <c r="W200" s="37"/>
      <c r="X200" s="56"/>
      <c r="Y200" s="9" t="s">
        <v>713</v>
      </c>
      <c r="Z200" s="10"/>
      <c r="AA200" s="10"/>
      <c r="AB200" s="10"/>
      <c r="AC200" s="10">
        <v>2026</v>
      </c>
    </row>
    <row r="201" spans="1:29" s="116" customFormat="1" ht="10.199999999999999" x14ac:dyDescent="0.3">
      <c r="A201" s="17">
        <v>75</v>
      </c>
      <c r="B201" s="18" t="s">
        <v>707</v>
      </c>
      <c r="C201" s="121" t="s">
        <v>272</v>
      </c>
      <c r="D201" s="55">
        <v>2.7</v>
      </c>
      <c r="E201" s="131" t="s">
        <v>726</v>
      </c>
      <c r="F201" s="42" t="s">
        <v>70</v>
      </c>
      <c r="G201" s="42" t="s">
        <v>540</v>
      </c>
      <c r="H201" s="135">
        <v>0.3</v>
      </c>
      <c r="I201" s="137" t="s">
        <v>143</v>
      </c>
      <c r="J201" s="23"/>
      <c r="K201" s="23"/>
      <c r="L201" s="24" t="s">
        <v>7</v>
      </c>
      <c r="M201" s="24"/>
      <c r="N201" s="24"/>
      <c r="O201" s="24"/>
      <c r="P201" s="24"/>
      <c r="Q201" s="24"/>
      <c r="R201" s="24"/>
      <c r="S201" s="46" t="str">
        <f>IF(Project_Tracker[[#This Row],[Project Lead]]="", "", IFERROR(VLOOKUP(Project_Tracker[[#This Row],[Project Lead]], Setting!C:D, 2, 0), ""))</f>
        <v>dhany_indraswara@banpuindo.co.id</v>
      </c>
      <c r="T201" s="47"/>
      <c r="U201" s="37" t="str">
        <f>Project_Tracker[[#This Row],[Project Lead]]&amp;", "&amp;Project_Tracker[[#This Row],[Team Collaboration]]</f>
        <v>DHI, RAR</v>
      </c>
      <c r="V201" s="37"/>
      <c r="W201" s="37"/>
      <c r="X201" s="56"/>
      <c r="Y201" s="9" t="s">
        <v>713</v>
      </c>
      <c r="Z201" s="10"/>
      <c r="AA201" s="10"/>
      <c r="AB201" s="10"/>
      <c r="AC201" s="10">
        <v>2026</v>
      </c>
    </row>
    <row r="202" spans="1:29" s="116" customFormat="1" ht="10.199999999999999" x14ac:dyDescent="0.3">
      <c r="A202" s="17">
        <v>76</v>
      </c>
      <c r="B202" s="18" t="s">
        <v>707</v>
      </c>
      <c r="C202" s="121" t="s">
        <v>272</v>
      </c>
      <c r="D202" s="55">
        <v>2.8</v>
      </c>
      <c r="E202" s="146" t="s">
        <v>727</v>
      </c>
      <c r="F202" s="42" t="s">
        <v>540</v>
      </c>
      <c r="G202" s="42" t="s">
        <v>70</v>
      </c>
      <c r="H202" s="135">
        <v>0</v>
      </c>
      <c r="I202" s="137" t="s">
        <v>143</v>
      </c>
      <c r="J202" s="23"/>
      <c r="K202" s="23"/>
      <c r="L202" s="24" t="s">
        <v>44</v>
      </c>
      <c r="M202" s="24"/>
      <c r="N202" s="24"/>
      <c r="O202" s="24"/>
      <c r="P202" s="24"/>
      <c r="Q202" s="24"/>
      <c r="R202" s="24"/>
      <c r="S202" s="46" t="str">
        <f>IF(Project_Tracker[[#This Row],[Project Lead]]="", "", IFERROR(VLOOKUP(Project_Tracker[[#This Row],[Project Lead]], Setting!C:D, 2, 0), ""))</f>
        <v/>
      </c>
      <c r="T202" s="47"/>
      <c r="U202" s="37" t="str">
        <f>Project_Tracker[[#This Row],[Project Lead]]&amp;", "&amp;Project_Tracker[[#This Row],[Team Collaboration]]</f>
        <v>RAR, DHI</v>
      </c>
      <c r="V202" s="37"/>
      <c r="W202" s="37"/>
      <c r="X202" s="56"/>
      <c r="Y202" s="9" t="s">
        <v>713</v>
      </c>
      <c r="Z202" s="10"/>
      <c r="AA202" s="10"/>
      <c r="AB202" s="10"/>
      <c r="AC202" s="10">
        <v>2026</v>
      </c>
    </row>
    <row r="203" spans="1:29" s="116" customFormat="1" ht="10.199999999999999" x14ac:dyDescent="0.3">
      <c r="A203" s="17">
        <v>77</v>
      </c>
      <c r="B203" s="18" t="s">
        <v>707</v>
      </c>
      <c r="C203" s="121" t="s">
        <v>272</v>
      </c>
      <c r="D203" s="55">
        <v>2.9</v>
      </c>
      <c r="E203" s="131" t="s">
        <v>728</v>
      </c>
      <c r="F203" s="42" t="s">
        <v>70</v>
      </c>
      <c r="G203" s="42" t="s">
        <v>540</v>
      </c>
      <c r="H203" s="135">
        <v>1</v>
      </c>
      <c r="I203" s="137" t="s">
        <v>143</v>
      </c>
      <c r="J203" s="23"/>
      <c r="K203" s="23"/>
      <c r="L203" s="24" t="s">
        <v>7</v>
      </c>
      <c r="M203" s="24"/>
      <c r="N203" s="24"/>
      <c r="O203" s="24"/>
      <c r="P203" s="24"/>
      <c r="Q203" s="24"/>
      <c r="R203" s="24"/>
      <c r="S203" s="46" t="str">
        <f>IF(Project_Tracker[[#This Row],[Project Lead]]="", "", IFERROR(VLOOKUP(Project_Tracker[[#This Row],[Project Lead]], Setting!C:D, 2, 0), ""))</f>
        <v>dhany_indraswara@banpuindo.co.id</v>
      </c>
      <c r="T203" s="47"/>
      <c r="U203" s="37" t="str">
        <f>Project_Tracker[[#This Row],[Project Lead]]&amp;", "&amp;Project_Tracker[[#This Row],[Team Collaboration]]</f>
        <v>DHI, RAR</v>
      </c>
      <c r="V203" s="37"/>
      <c r="W203" s="37"/>
      <c r="X203" s="56"/>
      <c r="Y203" s="9" t="s">
        <v>713</v>
      </c>
      <c r="Z203" s="10"/>
      <c r="AA203" s="10"/>
      <c r="AB203" s="10"/>
      <c r="AC203" s="10">
        <v>2026</v>
      </c>
    </row>
    <row r="204" spans="1:29" s="116" customFormat="1" ht="10.199999999999999" x14ac:dyDescent="0.3">
      <c r="A204" s="17">
        <v>78</v>
      </c>
      <c r="B204" s="18" t="s">
        <v>707</v>
      </c>
      <c r="C204" s="121" t="s">
        <v>272</v>
      </c>
      <c r="D204" s="55">
        <v>2.1</v>
      </c>
      <c r="E204" s="131" t="s">
        <v>729</v>
      </c>
      <c r="F204" s="42" t="s">
        <v>70</v>
      </c>
      <c r="G204" s="42" t="s">
        <v>540</v>
      </c>
      <c r="H204" s="135">
        <v>0.9</v>
      </c>
      <c r="I204" s="137" t="s">
        <v>143</v>
      </c>
      <c r="J204" s="23"/>
      <c r="K204" s="23"/>
      <c r="L204" s="24" t="s">
        <v>7</v>
      </c>
      <c r="M204" s="24"/>
      <c r="N204" s="24"/>
      <c r="O204" s="24"/>
      <c r="P204" s="24"/>
      <c r="Q204" s="24"/>
      <c r="R204" s="24"/>
      <c r="S204" s="46" t="str">
        <f>IF(Project_Tracker[[#This Row],[Project Lead]]="", "", IFERROR(VLOOKUP(Project_Tracker[[#This Row],[Project Lead]], Setting!C:D, 2, 0), ""))</f>
        <v>dhany_indraswara@banpuindo.co.id</v>
      </c>
      <c r="T204" s="47"/>
      <c r="U204" s="37" t="str">
        <f>Project_Tracker[[#This Row],[Project Lead]]&amp;", "&amp;Project_Tracker[[#This Row],[Team Collaboration]]</f>
        <v>DHI, RAR</v>
      </c>
      <c r="V204" s="37"/>
      <c r="W204" s="37"/>
      <c r="X204" s="56"/>
      <c r="Y204" s="9" t="s">
        <v>713</v>
      </c>
      <c r="Z204" s="10"/>
      <c r="AA204" s="10"/>
      <c r="AB204" s="10"/>
      <c r="AC204" s="10">
        <v>2026</v>
      </c>
    </row>
    <row r="205" spans="1:29" s="116" customFormat="1" ht="10.199999999999999" x14ac:dyDescent="0.3">
      <c r="A205" s="17">
        <v>79</v>
      </c>
      <c r="B205" s="18" t="s">
        <v>707</v>
      </c>
      <c r="C205" s="121" t="s">
        <v>272</v>
      </c>
      <c r="D205" s="55">
        <v>2.11</v>
      </c>
      <c r="E205" s="131" t="s">
        <v>730</v>
      </c>
      <c r="F205" s="42" t="s">
        <v>70</v>
      </c>
      <c r="G205" s="42" t="s">
        <v>540</v>
      </c>
      <c r="H205" s="135">
        <v>0</v>
      </c>
      <c r="I205" s="137" t="s">
        <v>731</v>
      </c>
      <c r="J205" s="23"/>
      <c r="K205" s="23"/>
      <c r="L205" s="24" t="s">
        <v>44</v>
      </c>
      <c r="M205" s="24"/>
      <c r="N205" s="24"/>
      <c r="O205" s="24"/>
      <c r="P205" s="24"/>
      <c r="Q205" s="24"/>
      <c r="R205" s="24"/>
      <c r="S205" s="46" t="str">
        <f>IF(Project_Tracker[[#This Row],[Project Lead]]="", "", IFERROR(VLOOKUP(Project_Tracker[[#This Row],[Project Lead]], Setting!C:D, 2, 0), ""))</f>
        <v>dhany_indraswara@banpuindo.co.id</v>
      </c>
      <c r="T205" s="47"/>
      <c r="U205" s="37" t="str">
        <f>Project_Tracker[[#This Row],[Project Lead]]&amp;", "&amp;Project_Tracker[[#This Row],[Team Collaboration]]</f>
        <v>DHI, RAR</v>
      </c>
      <c r="V205" s="37"/>
      <c r="W205" s="37"/>
      <c r="X205" s="56"/>
      <c r="Y205" s="9" t="s">
        <v>713</v>
      </c>
      <c r="Z205" s="10"/>
      <c r="AA205" s="10"/>
      <c r="AB205" s="10"/>
      <c r="AC205" s="10">
        <v>2026</v>
      </c>
    </row>
    <row r="206" spans="1:29" s="116" customFormat="1" ht="10.199999999999999" x14ac:dyDescent="0.3">
      <c r="A206" s="17">
        <v>80</v>
      </c>
      <c r="B206" s="18" t="s">
        <v>707</v>
      </c>
      <c r="C206" s="121" t="s">
        <v>272</v>
      </c>
      <c r="D206" s="55">
        <v>2.12</v>
      </c>
      <c r="E206" s="131" t="s">
        <v>732</v>
      </c>
      <c r="F206" s="42" t="s">
        <v>540</v>
      </c>
      <c r="G206" s="42" t="s">
        <v>70</v>
      </c>
      <c r="H206" s="135">
        <v>0</v>
      </c>
      <c r="I206" s="137" t="s">
        <v>731</v>
      </c>
      <c r="J206" s="23"/>
      <c r="K206" s="23"/>
      <c r="L206" s="24" t="s">
        <v>44</v>
      </c>
      <c r="M206" s="24"/>
      <c r="N206" s="24"/>
      <c r="O206" s="24"/>
      <c r="P206" s="24"/>
      <c r="Q206" s="24"/>
      <c r="R206" s="24"/>
      <c r="S206" s="46" t="str">
        <f>IF(Project_Tracker[[#This Row],[Project Lead]]="", "", IFERROR(VLOOKUP(Project_Tracker[[#This Row],[Project Lead]], Setting!C:D, 2, 0), ""))</f>
        <v/>
      </c>
      <c r="T206" s="47"/>
      <c r="U206" s="37" t="str">
        <f>Project_Tracker[[#This Row],[Project Lead]]&amp;", "&amp;Project_Tracker[[#This Row],[Team Collaboration]]</f>
        <v>RAR, DHI</v>
      </c>
      <c r="V206" s="37"/>
      <c r="W206" s="37"/>
      <c r="X206" s="56"/>
      <c r="Y206" s="9" t="s">
        <v>713</v>
      </c>
      <c r="Z206" s="10"/>
      <c r="AA206" s="10"/>
      <c r="AB206" s="10"/>
      <c r="AC206" s="10">
        <v>2026</v>
      </c>
    </row>
    <row r="207" spans="1:29" s="116" customFormat="1" ht="10.199999999999999" x14ac:dyDescent="0.3">
      <c r="A207" s="17">
        <v>81</v>
      </c>
      <c r="B207" s="18" t="s">
        <v>707</v>
      </c>
      <c r="C207" s="121" t="s">
        <v>272</v>
      </c>
      <c r="D207" s="55">
        <v>2.13</v>
      </c>
      <c r="E207" s="131" t="s">
        <v>733</v>
      </c>
      <c r="F207" s="42" t="s">
        <v>540</v>
      </c>
      <c r="G207" s="42" t="s">
        <v>70</v>
      </c>
      <c r="H207" s="135">
        <v>0</v>
      </c>
      <c r="I207" s="137" t="s">
        <v>731</v>
      </c>
      <c r="J207" s="23"/>
      <c r="K207" s="23"/>
      <c r="L207" s="24" t="s">
        <v>44</v>
      </c>
      <c r="M207" s="24"/>
      <c r="N207" s="24"/>
      <c r="O207" s="24"/>
      <c r="P207" s="24"/>
      <c r="Q207" s="24"/>
      <c r="R207" s="24"/>
      <c r="S207" s="46" t="str">
        <f>IF(Project_Tracker[[#This Row],[Project Lead]]="", "", IFERROR(VLOOKUP(Project_Tracker[[#This Row],[Project Lead]], Setting!C:D, 2, 0), ""))</f>
        <v/>
      </c>
      <c r="T207" s="47"/>
      <c r="U207" s="37" t="str">
        <f>Project_Tracker[[#This Row],[Project Lead]]&amp;", "&amp;Project_Tracker[[#This Row],[Team Collaboration]]</f>
        <v>RAR, DHI</v>
      </c>
      <c r="V207" s="37"/>
      <c r="W207" s="37"/>
      <c r="X207" s="56"/>
      <c r="Y207" s="9" t="s">
        <v>713</v>
      </c>
      <c r="Z207" s="10"/>
      <c r="AA207" s="10"/>
      <c r="AB207" s="10"/>
      <c r="AC207" s="10">
        <v>2026</v>
      </c>
    </row>
    <row r="208" spans="1:29" s="116" customFormat="1" ht="10.199999999999999" x14ac:dyDescent="0.3">
      <c r="A208" s="17">
        <v>82</v>
      </c>
      <c r="B208" s="18" t="s">
        <v>707</v>
      </c>
      <c r="C208" s="121" t="s">
        <v>272</v>
      </c>
      <c r="D208" s="55">
        <v>2.14</v>
      </c>
      <c r="E208" s="131" t="s">
        <v>734</v>
      </c>
      <c r="F208" s="42" t="s">
        <v>540</v>
      </c>
      <c r="G208" s="42" t="s">
        <v>70</v>
      </c>
      <c r="H208" s="135">
        <v>0</v>
      </c>
      <c r="I208" s="137" t="s">
        <v>43</v>
      </c>
      <c r="J208" s="23"/>
      <c r="K208" s="23"/>
      <c r="L208" s="24" t="s">
        <v>44</v>
      </c>
      <c r="M208" s="24"/>
      <c r="N208" s="24"/>
      <c r="O208" s="24"/>
      <c r="P208" s="24"/>
      <c r="Q208" s="24"/>
      <c r="R208" s="24"/>
      <c r="S208" s="46" t="str">
        <f>IF(Project_Tracker[[#This Row],[Project Lead]]="", "", IFERROR(VLOOKUP(Project_Tracker[[#This Row],[Project Lead]], Setting!C:D, 2, 0), ""))</f>
        <v/>
      </c>
      <c r="T208" s="47"/>
      <c r="U208" s="37" t="str">
        <f>Project_Tracker[[#This Row],[Project Lead]]&amp;", "&amp;Project_Tracker[[#This Row],[Team Collaboration]]</f>
        <v>RAR, DHI</v>
      </c>
      <c r="V208" s="37"/>
      <c r="W208" s="37"/>
      <c r="X208" s="56"/>
      <c r="Y208" s="9" t="s">
        <v>713</v>
      </c>
      <c r="Z208" s="10"/>
      <c r="AA208" s="10"/>
      <c r="AB208" s="10"/>
      <c r="AC208" s="10">
        <v>2026</v>
      </c>
    </row>
    <row r="209" spans="1:29" s="116" customFormat="1" ht="10.199999999999999" x14ac:dyDescent="0.3">
      <c r="A209" s="17">
        <v>83</v>
      </c>
      <c r="B209" s="18" t="s">
        <v>707</v>
      </c>
      <c r="C209" s="121" t="s">
        <v>272</v>
      </c>
      <c r="D209" s="55">
        <v>2.15</v>
      </c>
      <c r="E209" s="131" t="s">
        <v>735</v>
      </c>
      <c r="F209" s="42" t="s">
        <v>540</v>
      </c>
      <c r="G209" s="42" t="s">
        <v>70</v>
      </c>
      <c r="H209" s="135">
        <v>0</v>
      </c>
      <c r="I209" s="137" t="s">
        <v>43</v>
      </c>
      <c r="J209" s="23"/>
      <c r="K209" s="23"/>
      <c r="L209" s="24" t="s">
        <v>44</v>
      </c>
      <c r="M209" s="24"/>
      <c r="N209" s="24"/>
      <c r="O209" s="24"/>
      <c r="P209" s="24"/>
      <c r="Q209" s="24"/>
      <c r="R209" s="24"/>
      <c r="S209" s="46" t="str">
        <f>IF(Project_Tracker[[#This Row],[Project Lead]]="", "", IFERROR(VLOOKUP(Project_Tracker[[#This Row],[Project Lead]], Setting!C:D, 2, 0), ""))</f>
        <v/>
      </c>
      <c r="T209" s="47"/>
      <c r="U209" s="37" t="str">
        <f>Project_Tracker[[#This Row],[Project Lead]]&amp;", "&amp;Project_Tracker[[#This Row],[Team Collaboration]]</f>
        <v>RAR, DHI</v>
      </c>
      <c r="V209" s="37"/>
      <c r="W209" s="37"/>
      <c r="X209" s="56"/>
      <c r="Y209" s="9" t="s">
        <v>713</v>
      </c>
      <c r="Z209" s="10"/>
      <c r="AA209" s="10"/>
      <c r="AB209" s="10"/>
      <c r="AC209" s="10">
        <v>2026</v>
      </c>
    </row>
    <row r="210" spans="1:29" s="116" customFormat="1" ht="91.8" x14ac:dyDescent="0.3">
      <c r="A210" s="17">
        <v>84</v>
      </c>
      <c r="B210" s="18" t="s">
        <v>707</v>
      </c>
      <c r="C210" s="121" t="s">
        <v>736</v>
      </c>
      <c r="D210" s="55">
        <v>3</v>
      </c>
      <c r="E210" s="147" t="s">
        <v>736</v>
      </c>
      <c r="F210" s="42" t="s">
        <v>70</v>
      </c>
      <c r="G210" s="42" t="s">
        <v>540</v>
      </c>
      <c r="H210" s="135">
        <v>0.7</v>
      </c>
      <c r="I210" s="137" t="s">
        <v>43</v>
      </c>
      <c r="J210" s="23"/>
      <c r="K210" s="23"/>
      <c r="L210" s="24" t="s">
        <v>7</v>
      </c>
      <c r="M210" s="18" t="s">
        <v>737</v>
      </c>
      <c r="N210" s="89" t="s">
        <v>738</v>
      </c>
      <c r="O210" s="24"/>
      <c r="P210" s="24"/>
      <c r="Q210" s="24"/>
      <c r="R210" s="24"/>
      <c r="S210" s="46" t="str">
        <f>IF(Project_Tracker[[#This Row],[Project Lead]]="", "", IFERROR(VLOOKUP(Project_Tracker[[#This Row],[Project Lead]], Setting!C:D, 2, 0), ""))</f>
        <v>dhany_indraswara@banpuindo.co.id</v>
      </c>
      <c r="T210" s="47"/>
      <c r="U210" s="37" t="str">
        <f>Project_Tracker[[#This Row],[Project Lead]]&amp;", "&amp;Project_Tracker[[#This Row],[Team Collaboration]]</f>
        <v>DHI, RAR</v>
      </c>
      <c r="V210" s="37"/>
      <c r="W210" s="37"/>
      <c r="X210" s="56"/>
      <c r="Y210" s="10"/>
      <c r="Z210" s="10"/>
      <c r="AA210" s="10"/>
      <c r="AB210" s="10"/>
      <c r="AC210" s="10">
        <v>2026</v>
      </c>
    </row>
    <row r="211" spans="1:29" s="116" customFormat="1" ht="10.199999999999999" x14ac:dyDescent="0.3">
      <c r="A211" s="17">
        <v>85</v>
      </c>
      <c r="B211" s="18" t="s">
        <v>707</v>
      </c>
      <c r="C211" s="95" t="s">
        <v>281</v>
      </c>
      <c r="D211" s="55">
        <v>4.0999999999999996</v>
      </c>
      <c r="E211" s="124" t="s">
        <v>739</v>
      </c>
      <c r="F211" s="42" t="s">
        <v>540</v>
      </c>
      <c r="G211" s="42" t="s">
        <v>211</v>
      </c>
      <c r="H211" s="135">
        <v>0.9</v>
      </c>
      <c r="I211" s="137" t="s">
        <v>243</v>
      </c>
      <c r="J211" s="23"/>
      <c r="K211" s="23"/>
      <c r="L211" s="24" t="s">
        <v>718</v>
      </c>
      <c r="M211" s="18" t="s">
        <v>740</v>
      </c>
      <c r="N211" s="21" t="s">
        <v>741</v>
      </c>
      <c r="O211" s="24"/>
      <c r="P211" s="24"/>
      <c r="Q211" s="24"/>
      <c r="R211" s="24"/>
      <c r="S211" s="46" t="str">
        <f>IF(Project_Tracker[[#This Row],[Project Lead]]="", "", IFERROR(VLOOKUP(Project_Tracker[[#This Row],[Project Lead]], Setting!C:D, 2, 0), ""))</f>
        <v/>
      </c>
      <c r="T211" s="47"/>
      <c r="U211" s="37" t="str">
        <f>Project_Tracker[[#This Row],[Project Lead]]&amp;", "&amp;Project_Tracker[[#This Row],[Team Collaboration]]</f>
        <v>RAR, DHI, ALR</v>
      </c>
      <c r="V211" s="37"/>
      <c r="W211" s="37"/>
      <c r="X211" s="56"/>
      <c r="Y211" s="9" t="s">
        <v>742</v>
      </c>
      <c r="Z211" s="140">
        <v>46054</v>
      </c>
      <c r="AA211" s="140">
        <v>46111</v>
      </c>
      <c r="AB211" s="142">
        <f t="shared" ref="AB211:AB220" si="0">IF(OR(ISBLANK(Z211),ISBLANK(AA211)),"",AA211-Z211+1)</f>
        <v>58</v>
      </c>
      <c r="AC211" s="10">
        <v>2026</v>
      </c>
    </row>
    <row r="212" spans="1:29" s="116" customFormat="1" ht="10.199999999999999" x14ac:dyDescent="0.3">
      <c r="A212" s="17">
        <v>86</v>
      </c>
      <c r="B212" s="18" t="s">
        <v>707</v>
      </c>
      <c r="C212" s="95" t="s">
        <v>281</v>
      </c>
      <c r="D212" s="55">
        <v>4.2</v>
      </c>
      <c r="E212" s="124" t="s">
        <v>743</v>
      </c>
      <c r="F212" s="42" t="s">
        <v>540</v>
      </c>
      <c r="G212" s="42" t="s">
        <v>70</v>
      </c>
      <c r="H212" s="135">
        <v>0</v>
      </c>
      <c r="I212" s="137" t="s">
        <v>243</v>
      </c>
      <c r="J212" s="23"/>
      <c r="K212" s="23"/>
      <c r="L212" s="24" t="s">
        <v>44</v>
      </c>
      <c r="M212" s="24"/>
      <c r="N212" s="24"/>
      <c r="O212" s="24"/>
      <c r="P212" s="24"/>
      <c r="Q212" s="24"/>
      <c r="R212" s="24"/>
      <c r="S212" s="46" t="str">
        <f>IF(Project_Tracker[[#This Row],[Project Lead]]="", "", IFERROR(VLOOKUP(Project_Tracker[[#This Row],[Project Lead]], Setting!C:D, 2, 0), ""))</f>
        <v/>
      </c>
      <c r="T212" s="47"/>
      <c r="U212" s="37" t="str">
        <f>Project_Tracker[[#This Row],[Project Lead]]&amp;", "&amp;Project_Tracker[[#This Row],[Team Collaboration]]</f>
        <v>RAR, DHI</v>
      </c>
      <c r="V212" s="37"/>
      <c r="W212" s="37"/>
      <c r="X212" s="56"/>
      <c r="Y212" s="9" t="s">
        <v>742</v>
      </c>
      <c r="Z212" s="140">
        <v>46054</v>
      </c>
      <c r="AA212" s="140">
        <v>46111</v>
      </c>
      <c r="AB212" s="142">
        <f t="shared" si="0"/>
        <v>58</v>
      </c>
      <c r="AC212" s="10">
        <v>2026</v>
      </c>
    </row>
    <row r="213" spans="1:29" s="116" customFormat="1" ht="30.6" x14ac:dyDescent="0.3">
      <c r="A213" s="17">
        <v>87</v>
      </c>
      <c r="B213" s="18" t="s">
        <v>707</v>
      </c>
      <c r="C213" s="95" t="s">
        <v>281</v>
      </c>
      <c r="D213" s="55">
        <v>4.3</v>
      </c>
      <c r="E213" s="124" t="s">
        <v>744</v>
      </c>
      <c r="F213" s="42" t="s">
        <v>70</v>
      </c>
      <c r="G213" s="42" t="s">
        <v>540</v>
      </c>
      <c r="H213" s="135">
        <v>0.3</v>
      </c>
      <c r="I213" s="137" t="s">
        <v>446</v>
      </c>
      <c r="J213" s="23"/>
      <c r="K213" s="23"/>
      <c r="L213" s="24" t="s">
        <v>7</v>
      </c>
      <c r="M213" s="24"/>
      <c r="N213" s="18" t="s">
        <v>745</v>
      </c>
      <c r="O213" s="24"/>
      <c r="P213" s="24"/>
      <c r="Q213" s="24"/>
      <c r="R213" s="24"/>
      <c r="S213" s="46" t="str">
        <f>IF(Project_Tracker[[#This Row],[Project Lead]]="", "", IFERROR(VLOOKUP(Project_Tracker[[#This Row],[Project Lead]], Setting!C:D, 2, 0), ""))</f>
        <v>dhany_indraswara@banpuindo.co.id</v>
      </c>
      <c r="T213" s="47"/>
      <c r="U213" s="37" t="str">
        <f>Project_Tracker[[#This Row],[Project Lead]]&amp;", "&amp;Project_Tracker[[#This Row],[Team Collaboration]]</f>
        <v>DHI, RAR</v>
      </c>
      <c r="V213" s="37"/>
      <c r="W213" s="37"/>
      <c r="X213" s="56"/>
      <c r="Y213" s="9"/>
      <c r="Z213" s="140">
        <v>46023</v>
      </c>
      <c r="AA213" s="140">
        <v>46111</v>
      </c>
      <c r="AB213" s="142">
        <f t="shared" si="0"/>
        <v>89</v>
      </c>
      <c r="AC213" s="10">
        <v>2026</v>
      </c>
    </row>
    <row r="214" spans="1:29" s="116" customFormat="1" ht="20.399999999999999" x14ac:dyDescent="0.3">
      <c r="A214" s="17">
        <v>88</v>
      </c>
      <c r="B214" s="18" t="s">
        <v>707</v>
      </c>
      <c r="C214" s="95" t="s">
        <v>281</v>
      </c>
      <c r="D214" s="55">
        <v>4.4000000000000004</v>
      </c>
      <c r="E214" s="147" t="s">
        <v>746</v>
      </c>
      <c r="F214" s="42" t="s">
        <v>70</v>
      </c>
      <c r="G214" s="42" t="s">
        <v>747</v>
      </c>
      <c r="H214" s="135">
        <v>0.95</v>
      </c>
      <c r="I214" s="137" t="s">
        <v>446</v>
      </c>
      <c r="J214" s="23"/>
      <c r="K214" s="23"/>
      <c r="L214" s="24" t="s">
        <v>7</v>
      </c>
      <c r="M214" s="24"/>
      <c r="N214" s="18" t="s">
        <v>748</v>
      </c>
      <c r="O214" s="24"/>
      <c r="P214" s="24"/>
      <c r="Q214" s="24"/>
      <c r="R214" s="24"/>
      <c r="S214" s="46" t="str">
        <f>IF(Project_Tracker[[#This Row],[Project Lead]]="", "", IFERROR(VLOOKUP(Project_Tracker[[#This Row],[Project Lead]], Setting!C:D, 2, 0), ""))</f>
        <v>dhany_indraswara@banpuindo.co.id</v>
      </c>
      <c r="T214" s="47"/>
      <c r="U214" s="37" t="str">
        <f>Project_Tracker[[#This Row],[Project Lead]]&amp;", "&amp;Project_Tracker[[#This Row],[Team Collaboration]]</f>
        <v>DHI, RAR,AWN</v>
      </c>
      <c r="V214" s="37"/>
      <c r="W214" s="37"/>
      <c r="X214" s="56"/>
      <c r="Y214" s="9" t="s">
        <v>742</v>
      </c>
      <c r="Z214" s="140">
        <v>46023</v>
      </c>
      <c r="AA214" s="140">
        <v>46111</v>
      </c>
      <c r="AB214" s="142">
        <f t="shared" si="0"/>
        <v>89</v>
      </c>
      <c r="AC214" s="10">
        <v>2026</v>
      </c>
    </row>
    <row r="215" spans="1:29" s="116" customFormat="1" ht="20.399999999999999" x14ac:dyDescent="0.3">
      <c r="A215" s="17">
        <v>89</v>
      </c>
      <c r="B215" s="18" t="s">
        <v>707</v>
      </c>
      <c r="C215" s="95" t="s">
        <v>281</v>
      </c>
      <c r="D215" s="55">
        <v>4.5</v>
      </c>
      <c r="E215" s="132" t="s">
        <v>749</v>
      </c>
      <c r="F215" s="42" t="s">
        <v>70</v>
      </c>
      <c r="G215" s="42" t="s">
        <v>540</v>
      </c>
      <c r="H215" s="135">
        <v>0.8</v>
      </c>
      <c r="I215" s="137" t="s">
        <v>446</v>
      </c>
      <c r="J215" s="23"/>
      <c r="K215" s="23"/>
      <c r="L215" s="24" t="s">
        <v>44</v>
      </c>
      <c r="M215" s="24"/>
      <c r="N215" s="18" t="s">
        <v>750</v>
      </c>
      <c r="O215" s="24"/>
      <c r="P215" s="24"/>
      <c r="Q215" s="24"/>
      <c r="R215" s="24"/>
      <c r="S215" s="46" t="str">
        <f>IF(Project_Tracker[[#This Row],[Project Lead]]="", "", IFERROR(VLOOKUP(Project_Tracker[[#This Row],[Project Lead]], Setting!C:D, 2, 0), ""))</f>
        <v>dhany_indraswara@banpuindo.co.id</v>
      </c>
      <c r="T215" s="47"/>
      <c r="U215" s="37" t="str">
        <f>Project_Tracker[[#This Row],[Project Lead]]&amp;", "&amp;Project_Tracker[[#This Row],[Team Collaboration]]</f>
        <v>DHI, RAR</v>
      </c>
      <c r="V215" s="37"/>
      <c r="W215" s="37"/>
      <c r="X215" s="56"/>
      <c r="Y215" s="139" t="s">
        <v>742</v>
      </c>
      <c r="Z215" s="140">
        <v>46054</v>
      </c>
      <c r="AA215" s="140">
        <v>46111</v>
      </c>
      <c r="AB215" s="142">
        <f t="shared" si="0"/>
        <v>58</v>
      </c>
      <c r="AC215" s="10">
        <v>2026</v>
      </c>
    </row>
    <row r="216" spans="1:29" s="116" customFormat="1" ht="10.199999999999999" x14ac:dyDescent="0.3">
      <c r="A216" s="17">
        <v>90</v>
      </c>
      <c r="B216" s="18" t="s">
        <v>707</v>
      </c>
      <c r="C216" s="95" t="s">
        <v>281</v>
      </c>
      <c r="D216" s="55">
        <v>4.5999999999999996</v>
      </c>
      <c r="E216" s="124" t="s">
        <v>751</v>
      </c>
      <c r="F216" s="42" t="s">
        <v>70</v>
      </c>
      <c r="G216" s="42" t="s">
        <v>540</v>
      </c>
      <c r="H216" s="135">
        <v>0</v>
      </c>
      <c r="I216" s="137" t="s">
        <v>446</v>
      </c>
      <c r="J216" s="23"/>
      <c r="K216" s="23"/>
      <c r="L216" s="24" t="s">
        <v>44</v>
      </c>
      <c r="M216" s="24"/>
      <c r="N216" s="24"/>
      <c r="O216" s="24"/>
      <c r="P216" s="24"/>
      <c r="Q216" s="24"/>
      <c r="R216" s="24"/>
      <c r="S216" s="46" t="str">
        <f>IF(Project_Tracker[[#This Row],[Project Lead]]="", "", IFERROR(VLOOKUP(Project_Tracker[[#This Row],[Project Lead]], Setting!C:D, 2, 0), ""))</f>
        <v>dhany_indraswara@banpuindo.co.id</v>
      </c>
      <c r="T216" s="47"/>
      <c r="U216" s="37" t="str">
        <f>Project_Tracker[[#This Row],[Project Lead]]&amp;", "&amp;Project_Tracker[[#This Row],[Team Collaboration]]</f>
        <v>DHI, RAR</v>
      </c>
      <c r="V216" s="37"/>
      <c r="W216" s="37"/>
      <c r="X216" s="56"/>
      <c r="Y216" s="9"/>
      <c r="Z216" s="140">
        <v>46142</v>
      </c>
      <c r="AA216" s="140">
        <v>46203</v>
      </c>
      <c r="AB216" s="142">
        <f t="shared" si="0"/>
        <v>62</v>
      </c>
      <c r="AC216" s="10">
        <v>2026</v>
      </c>
    </row>
    <row r="217" spans="1:29" s="116" customFormat="1" ht="10.199999999999999" x14ac:dyDescent="0.3">
      <c r="A217" s="17">
        <v>91</v>
      </c>
      <c r="B217" s="18" t="s">
        <v>707</v>
      </c>
      <c r="C217" s="95" t="s">
        <v>281</v>
      </c>
      <c r="D217" s="55">
        <v>4.7</v>
      </c>
      <c r="E217" s="147" t="s">
        <v>752</v>
      </c>
      <c r="F217" s="42" t="s">
        <v>540</v>
      </c>
      <c r="G217" s="42" t="s">
        <v>753</v>
      </c>
      <c r="H217" s="135">
        <v>0.7</v>
      </c>
      <c r="I217" s="137" t="s">
        <v>243</v>
      </c>
      <c r="J217" s="23"/>
      <c r="K217" s="23"/>
      <c r="L217" s="24" t="s">
        <v>718</v>
      </c>
      <c r="M217" s="18" t="s">
        <v>754</v>
      </c>
      <c r="N217" s="18" t="s">
        <v>755</v>
      </c>
      <c r="O217" s="24" t="s">
        <v>288</v>
      </c>
      <c r="P217" s="24"/>
      <c r="Q217" s="24"/>
      <c r="R217" s="24"/>
      <c r="S217" s="46" t="str">
        <f>IF(Project_Tracker[[#This Row],[Project Lead]]="", "", IFERROR(VLOOKUP(Project_Tracker[[#This Row],[Project Lead]], Setting!C:D, 2, 0), ""))</f>
        <v/>
      </c>
      <c r="T217" s="47"/>
      <c r="U217" s="37" t="str">
        <f>Project_Tracker[[#This Row],[Project Lead]]&amp;", "&amp;Project_Tracker[[#This Row],[Team Collaboration]]</f>
        <v>RAR, DHI,AWN</v>
      </c>
      <c r="V217" s="37"/>
      <c r="W217" s="37"/>
      <c r="X217" s="56"/>
      <c r="Y217" s="9" t="s">
        <v>742</v>
      </c>
      <c r="Z217" s="140">
        <v>46023</v>
      </c>
      <c r="AA217" s="140">
        <v>46111</v>
      </c>
      <c r="AB217" s="142">
        <f t="shared" si="0"/>
        <v>89</v>
      </c>
      <c r="AC217" s="10">
        <v>2026</v>
      </c>
    </row>
    <row r="218" spans="1:29" s="116" customFormat="1" ht="20.399999999999999" x14ac:dyDescent="0.3">
      <c r="A218" s="17">
        <v>92</v>
      </c>
      <c r="B218" s="18" t="s">
        <v>707</v>
      </c>
      <c r="C218" s="95" t="s">
        <v>281</v>
      </c>
      <c r="D218" s="55">
        <v>4.8</v>
      </c>
      <c r="E218" s="124" t="s">
        <v>756</v>
      </c>
      <c r="F218" s="42" t="s">
        <v>540</v>
      </c>
      <c r="G218" s="42" t="s">
        <v>753</v>
      </c>
      <c r="H218" s="135">
        <v>0.8</v>
      </c>
      <c r="I218" s="137" t="s">
        <v>243</v>
      </c>
      <c r="J218" s="23"/>
      <c r="K218" s="23"/>
      <c r="L218" s="24" t="s">
        <v>718</v>
      </c>
      <c r="M218" s="18" t="s">
        <v>757</v>
      </c>
      <c r="N218" s="18" t="s">
        <v>758</v>
      </c>
      <c r="O218" s="24"/>
      <c r="P218" s="24"/>
      <c r="Q218" s="24"/>
      <c r="R218" s="24"/>
      <c r="S218" s="46" t="str">
        <f>IF(Project_Tracker[[#This Row],[Project Lead]]="", "", IFERROR(VLOOKUP(Project_Tracker[[#This Row],[Project Lead]], Setting!C:D, 2, 0), ""))</f>
        <v/>
      </c>
      <c r="T218" s="47"/>
      <c r="U218" s="37" t="str">
        <f>Project_Tracker[[#This Row],[Project Lead]]&amp;", "&amp;Project_Tracker[[#This Row],[Team Collaboration]]</f>
        <v>RAR, DHI,AWN</v>
      </c>
      <c r="V218" s="37"/>
      <c r="W218" s="37"/>
      <c r="X218" s="56"/>
      <c r="Y218" s="9" t="s">
        <v>742</v>
      </c>
      <c r="Z218" s="140">
        <v>46023</v>
      </c>
      <c r="AA218" s="140">
        <v>46111</v>
      </c>
      <c r="AB218" s="142">
        <f t="shared" si="0"/>
        <v>89</v>
      </c>
      <c r="AC218" s="10">
        <v>2026</v>
      </c>
    </row>
    <row r="219" spans="1:29" s="116" customFormat="1" ht="10.199999999999999" x14ac:dyDescent="0.3">
      <c r="A219" s="17">
        <v>93</v>
      </c>
      <c r="B219" s="18" t="s">
        <v>707</v>
      </c>
      <c r="C219" s="95" t="s">
        <v>281</v>
      </c>
      <c r="D219" s="55">
        <v>4.9000000000000004</v>
      </c>
      <c r="E219" s="124" t="s">
        <v>759</v>
      </c>
      <c r="F219" s="42" t="s">
        <v>70</v>
      </c>
      <c r="G219" s="42" t="s">
        <v>540</v>
      </c>
      <c r="H219" s="135">
        <v>0</v>
      </c>
      <c r="I219" s="137" t="s">
        <v>243</v>
      </c>
      <c r="J219" s="23"/>
      <c r="K219" s="23"/>
      <c r="L219" s="24" t="s">
        <v>44</v>
      </c>
      <c r="M219" s="24"/>
      <c r="N219" s="24"/>
      <c r="O219" s="24"/>
      <c r="P219" s="24"/>
      <c r="Q219" s="24"/>
      <c r="R219" s="24"/>
      <c r="S219" s="46" t="str">
        <f>IF(Project_Tracker[[#This Row],[Project Lead]]="", "", IFERROR(VLOOKUP(Project_Tracker[[#This Row],[Project Lead]], Setting!C:D, 2, 0), ""))</f>
        <v>dhany_indraswara@banpuindo.co.id</v>
      </c>
      <c r="T219" s="47"/>
      <c r="U219" s="37" t="str">
        <f>Project_Tracker[[#This Row],[Project Lead]]&amp;", "&amp;Project_Tracker[[#This Row],[Team Collaboration]]</f>
        <v>DHI, RAR</v>
      </c>
      <c r="V219" s="37"/>
      <c r="W219" s="37"/>
      <c r="X219" s="56"/>
      <c r="Y219" s="9" t="s">
        <v>742</v>
      </c>
      <c r="Z219" s="140">
        <v>46024</v>
      </c>
      <c r="AA219" s="140">
        <v>46112</v>
      </c>
      <c r="AB219" s="142">
        <f t="shared" si="0"/>
        <v>89</v>
      </c>
      <c r="AC219" s="10">
        <v>2026</v>
      </c>
    </row>
    <row r="220" spans="1:29" s="116" customFormat="1" ht="91.8" x14ac:dyDescent="0.3">
      <c r="A220" s="17">
        <v>94</v>
      </c>
      <c r="B220" s="18" t="s">
        <v>707</v>
      </c>
      <c r="C220" s="95" t="s">
        <v>281</v>
      </c>
      <c r="D220" s="55">
        <v>4.0999999999999996</v>
      </c>
      <c r="E220" s="147" t="s">
        <v>760</v>
      </c>
      <c r="F220" s="42" t="s">
        <v>70</v>
      </c>
      <c r="G220" s="42" t="s">
        <v>540</v>
      </c>
      <c r="H220" s="135">
        <v>0.72</v>
      </c>
      <c r="I220" s="137" t="s">
        <v>446</v>
      </c>
      <c r="J220" s="23"/>
      <c r="K220" s="23"/>
      <c r="L220" s="24" t="s">
        <v>7</v>
      </c>
      <c r="M220" s="18" t="s">
        <v>761</v>
      </c>
      <c r="N220" s="18" t="s">
        <v>762</v>
      </c>
      <c r="O220" s="24"/>
      <c r="P220" s="24"/>
      <c r="Q220" s="24"/>
      <c r="R220" s="24"/>
      <c r="S220" s="46" t="str">
        <f>IF(Project_Tracker[[#This Row],[Project Lead]]="", "", IFERROR(VLOOKUP(Project_Tracker[[#This Row],[Project Lead]], Setting!C:D, 2, 0), ""))</f>
        <v>dhany_indraswara@banpuindo.co.id</v>
      </c>
      <c r="T220" s="47"/>
      <c r="U220" s="37" t="str">
        <f>Project_Tracker[[#This Row],[Project Lead]]&amp;", "&amp;Project_Tracker[[#This Row],[Team Collaboration]]</f>
        <v>DHI, RAR</v>
      </c>
      <c r="V220" s="37"/>
      <c r="W220" s="37"/>
      <c r="X220" s="56"/>
      <c r="Y220" s="9" t="s">
        <v>742</v>
      </c>
      <c r="Z220" s="140">
        <v>46024</v>
      </c>
      <c r="AA220" s="140">
        <v>46112</v>
      </c>
      <c r="AB220" s="142">
        <f t="shared" si="0"/>
        <v>89</v>
      </c>
      <c r="AC220" s="10">
        <v>2026</v>
      </c>
    </row>
    <row r="221" spans="1:29" s="116" customFormat="1" ht="10.199999999999999" x14ac:dyDescent="0.3">
      <c r="A221" s="17">
        <v>95</v>
      </c>
      <c r="B221" s="18" t="s">
        <v>707</v>
      </c>
      <c r="C221" s="119" t="s">
        <v>763</v>
      </c>
      <c r="D221" s="55">
        <v>91</v>
      </c>
      <c r="E221" s="130" t="s">
        <v>763</v>
      </c>
      <c r="F221" s="42" t="s">
        <v>70</v>
      </c>
      <c r="G221" s="134" t="s">
        <v>540</v>
      </c>
      <c r="H221" s="135">
        <v>0</v>
      </c>
      <c r="I221" s="137" t="s">
        <v>43</v>
      </c>
      <c r="J221" s="23"/>
      <c r="K221" s="23"/>
      <c r="L221" s="24" t="s">
        <v>7</v>
      </c>
      <c r="M221" s="21"/>
      <c r="N221" s="21"/>
      <c r="O221" s="24"/>
      <c r="P221" s="24"/>
      <c r="Q221" s="24"/>
      <c r="R221" s="24"/>
      <c r="S221" s="46" t="str">
        <f>IF(Project_Tracker[[#This Row],[Project Lead]]="", "", IFERROR(VLOOKUP(Project_Tracker[[#This Row],[Project Lead]], Setting!C:D, 2, 0), ""))</f>
        <v>dhany_indraswara@banpuindo.co.id</v>
      </c>
      <c r="T221" s="47"/>
      <c r="U221" s="37" t="str">
        <f>Project_Tracker[[#This Row],[Project Lead]]&amp;", "&amp;Project_Tracker[[#This Row],[Team Collaboration]]</f>
        <v>DHI, RAR</v>
      </c>
      <c r="V221" s="37"/>
      <c r="W221" s="37"/>
      <c r="X221" s="56"/>
      <c r="Y221" s="10"/>
      <c r="Z221" s="10"/>
      <c r="AA221" s="10"/>
      <c r="AB221" s="10"/>
      <c r="AC221" s="10">
        <v>2026</v>
      </c>
    </row>
    <row r="222" spans="1:29" s="116" customFormat="1" ht="10.199999999999999" x14ac:dyDescent="0.3">
      <c r="A222" s="17">
        <v>96</v>
      </c>
      <c r="B222" s="18" t="s">
        <v>707</v>
      </c>
      <c r="C222" s="119" t="s">
        <v>764</v>
      </c>
      <c r="D222" s="55">
        <v>6.1</v>
      </c>
      <c r="E222" s="124" t="s">
        <v>593</v>
      </c>
      <c r="F222" s="42" t="s">
        <v>70</v>
      </c>
      <c r="G222" s="42" t="s">
        <v>540</v>
      </c>
      <c r="H222" s="135">
        <v>0</v>
      </c>
      <c r="I222" s="137" t="s">
        <v>43</v>
      </c>
      <c r="J222" s="23"/>
      <c r="K222" s="23"/>
      <c r="L222" s="24" t="s">
        <v>44</v>
      </c>
      <c r="M222" s="24"/>
      <c r="N222" s="24"/>
      <c r="O222" s="24"/>
      <c r="P222" s="24"/>
      <c r="Q222" s="24"/>
      <c r="R222" s="24"/>
      <c r="S222" s="46" t="str">
        <f>IF(Project_Tracker[[#This Row],[Project Lead]]="", "", IFERROR(VLOOKUP(Project_Tracker[[#This Row],[Project Lead]], Setting!C:D, 2, 0), ""))</f>
        <v>dhany_indraswara@banpuindo.co.id</v>
      </c>
      <c r="T222" s="47"/>
      <c r="U222" s="37" t="str">
        <f>Project_Tracker[[#This Row],[Project Lead]]&amp;", "&amp;Project_Tracker[[#This Row],[Team Collaboration]]</f>
        <v>DHI, RAR</v>
      </c>
      <c r="V222" s="37"/>
      <c r="W222" s="37"/>
      <c r="X222" s="56"/>
      <c r="Y222" s="9" t="s">
        <v>713</v>
      </c>
      <c r="Z222" s="10"/>
      <c r="AA222" s="10"/>
      <c r="AB222" s="10"/>
      <c r="AC222" s="10">
        <v>2026</v>
      </c>
    </row>
    <row r="223" spans="1:29" s="116" customFormat="1" ht="10.199999999999999" x14ac:dyDescent="0.3">
      <c r="A223" s="17">
        <v>97</v>
      </c>
      <c r="B223" s="18" t="s">
        <v>707</v>
      </c>
      <c r="C223" s="119" t="s">
        <v>764</v>
      </c>
      <c r="D223" s="55">
        <v>6.2</v>
      </c>
      <c r="E223" s="124" t="s">
        <v>595</v>
      </c>
      <c r="F223" s="42" t="s">
        <v>540</v>
      </c>
      <c r="G223" s="42" t="s">
        <v>70</v>
      </c>
      <c r="H223" s="135">
        <v>0</v>
      </c>
      <c r="I223" s="137" t="s">
        <v>43</v>
      </c>
      <c r="J223" s="23"/>
      <c r="K223" s="23"/>
      <c r="L223" s="24" t="s">
        <v>718</v>
      </c>
      <c r="M223" s="21"/>
      <c r="N223" s="21"/>
      <c r="O223" s="24"/>
      <c r="P223" s="24"/>
      <c r="Q223" s="24"/>
      <c r="R223" s="24"/>
      <c r="S223" s="46" t="str">
        <f>IF(Project_Tracker[[#This Row],[Project Lead]]="", "", IFERROR(VLOOKUP(Project_Tracker[[#This Row],[Project Lead]], Setting!C:D, 2, 0), ""))</f>
        <v/>
      </c>
      <c r="T223" s="47"/>
      <c r="U223" s="37" t="str">
        <f>Project_Tracker[[#This Row],[Project Lead]]&amp;", "&amp;Project_Tracker[[#This Row],[Team Collaboration]]</f>
        <v>RAR, DHI</v>
      </c>
      <c r="V223" s="37"/>
      <c r="W223" s="37"/>
      <c r="X223" s="56"/>
      <c r="Y223" s="9" t="s">
        <v>713</v>
      </c>
      <c r="Z223" s="10"/>
      <c r="AA223" s="10"/>
      <c r="AB223" s="10"/>
      <c r="AC223" s="10">
        <v>2026</v>
      </c>
    </row>
    <row r="224" spans="1:29" s="116" customFormat="1" ht="10.199999999999999" x14ac:dyDescent="0.3">
      <c r="A224" s="17">
        <v>98</v>
      </c>
      <c r="B224" s="18" t="s">
        <v>707</v>
      </c>
      <c r="C224" s="119" t="s">
        <v>764</v>
      </c>
      <c r="D224" s="55">
        <v>6.3</v>
      </c>
      <c r="E224" s="147" t="s">
        <v>597</v>
      </c>
      <c r="F224" s="42" t="s">
        <v>70</v>
      </c>
      <c r="G224" s="42" t="s">
        <v>540</v>
      </c>
      <c r="H224" s="135">
        <v>1</v>
      </c>
      <c r="I224" s="137" t="s">
        <v>43</v>
      </c>
      <c r="J224" s="23"/>
      <c r="K224" s="23"/>
      <c r="L224" s="24" t="s">
        <v>55</v>
      </c>
      <c r="M224" s="24"/>
      <c r="N224" s="24"/>
      <c r="O224" s="24"/>
      <c r="P224" s="24"/>
      <c r="Q224" s="24"/>
      <c r="R224" s="24"/>
      <c r="S224" s="46" t="str">
        <f>IF(Project_Tracker[[#This Row],[Project Lead]]="", "", IFERROR(VLOOKUP(Project_Tracker[[#This Row],[Project Lead]], Setting!C:D, 2, 0), ""))</f>
        <v>dhany_indraswara@banpuindo.co.id</v>
      </c>
      <c r="T224" s="47"/>
      <c r="U224" s="37" t="str">
        <f>Project_Tracker[[#This Row],[Project Lead]]&amp;", "&amp;Project_Tracker[[#This Row],[Team Collaboration]]</f>
        <v>DHI, RAR</v>
      </c>
      <c r="V224" s="37"/>
      <c r="W224" s="37"/>
      <c r="X224" s="56"/>
      <c r="Y224" s="9" t="s">
        <v>713</v>
      </c>
      <c r="Z224" s="10"/>
      <c r="AA224" s="10"/>
      <c r="AB224" s="10"/>
      <c r="AC224" s="10">
        <v>2026</v>
      </c>
    </row>
    <row r="225" spans="1:29" s="116" customFormat="1" ht="10.199999999999999" x14ac:dyDescent="0.3">
      <c r="A225" s="17">
        <v>99</v>
      </c>
      <c r="B225" s="18" t="s">
        <v>707</v>
      </c>
      <c r="C225" s="119" t="s">
        <v>764</v>
      </c>
      <c r="D225" s="55">
        <v>6.4</v>
      </c>
      <c r="E225" s="124" t="s">
        <v>601</v>
      </c>
      <c r="F225" s="42" t="s">
        <v>540</v>
      </c>
      <c r="G225" s="42" t="s">
        <v>70</v>
      </c>
      <c r="H225" s="135">
        <v>0</v>
      </c>
      <c r="I225" s="137" t="s">
        <v>43</v>
      </c>
      <c r="J225" s="23"/>
      <c r="K225" s="23"/>
      <c r="L225" s="24" t="s">
        <v>44</v>
      </c>
      <c r="M225" s="24"/>
      <c r="N225" s="24"/>
      <c r="O225" s="24"/>
      <c r="P225" s="24"/>
      <c r="Q225" s="24"/>
      <c r="R225" s="24"/>
      <c r="S225" s="46" t="str">
        <f>IF(Project_Tracker[[#This Row],[Project Lead]]="", "", IFERROR(VLOOKUP(Project_Tracker[[#This Row],[Project Lead]], Setting!C:D, 2, 0), ""))</f>
        <v/>
      </c>
      <c r="T225" s="47"/>
      <c r="U225" s="37" t="str">
        <f>Project_Tracker[[#This Row],[Project Lead]]&amp;", "&amp;Project_Tracker[[#This Row],[Team Collaboration]]</f>
        <v>RAR, DHI</v>
      </c>
      <c r="V225" s="37"/>
      <c r="W225" s="37"/>
      <c r="X225" s="56"/>
      <c r="Y225" s="9" t="s">
        <v>713</v>
      </c>
      <c r="Z225" s="10"/>
      <c r="AA225" s="10"/>
      <c r="AB225" s="10"/>
      <c r="AC225" s="10">
        <v>2026</v>
      </c>
    </row>
    <row r="226" spans="1:29" s="116" customFormat="1" ht="10.199999999999999" x14ac:dyDescent="0.3">
      <c r="A226" s="17">
        <v>100</v>
      </c>
      <c r="B226" s="18" t="s">
        <v>707</v>
      </c>
      <c r="C226" s="119" t="s">
        <v>764</v>
      </c>
      <c r="D226" s="55">
        <v>6.5</v>
      </c>
      <c r="E226" s="124" t="s">
        <v>603</v>
      </c>
      <c r="F226" s="42" t="s">
        <v>540</v>
      </c>
      <c r="G226" s="42" t="s">
        <v>70</v>
      </c>
      <c r="H226" s="135">
        <v>0</v>
      </c>
      <c r="I226" s="137" t="s">
        <v>43</v>
      </c>
      <c r="J226" s="23"/>
      <c r="K226" s="23"/>
      <c r="L226" s="24" t="s">
        <v>718</v>
      </c>
      <c r="M226" s="21"/>
      <c r="N226" s="21"/>
      <c r="O226" s="24"/>
      <c r="P226" s="24"/>
      <c r="Q226" s="24"/>
      <c r="R226" s="24"/>
      <c r="S226" s="46" t="str">
        <f>IF(Project_Tracker[[#This Row],[Project Lead]]="", "", IFERROR(VLOOKUP(Project_Tracker[[#This Row],[Project Lead]], Setting!C:D, 2, 0), ""))</f>
        <v/>
      </c>
      <c r="T226" s="47"/>
      <c r="U226" s="37" t="str">
        <f>Project_Tracker[[#This Row],[Project Lead]]&amp;", "&amp;Project_Tracker[[#This Row],[Team Collaboration]]</f>
        <v>RAR, DHI</v>
      </c>
      <c r="V226" s="37"/>
      <c r="W226" s="37"/>
      <c r="X226" s="56"/>
      <c r="Y226" s="9" t="s">
        <v>713</v>
      </c>
      <c r="Z226" s="10"/>
      <c r="AA226" s="10"/>
      <c r="AB226" s="10"/>
      <c r="AC226" s="10">
        <v>2026</v>
      </c>
    </row>
    <row r="227" spans="1:29" s="116" customFormat="1" ht="10.199999999999999" x14ac:dyDescent="0.3">
      <c r="A227" s="17">
        <v>101</v>
      </c>
      <c r="B227" s="18" t="s">
        <v>707</v>
      </c>
      <c r="C227" s="119" t="s">
        <v>764</v>
      </c>
      <c r="D227" s="55">
        <v>6.6</v>
      </c>
      <c r="E227" s="124" t="s">
        <v>605</v>
      </c>
      <c r="F227" s="42" t="s">
        <v>70</v>
      </c>
      <c r="G227" s="42" t="s">
        <v>540</v>
      </c>
      <c r="H227" s="135">
        <v>0</v>
      </c>
      <c r="I227" s="137" t="s">
        <v>43</v>
      </c>
      <c r="J227" s="23"/>
      <c r="K227" s="23"/>
      <c r="L227" s="24" t="s">
        <v>44</v>
      </c>
      <c r="M227" s="24"/>
      <c r="N227" s="24"/>
      <c r="O227" s="24"/>
      <c r="P227" s="24"/>
      <c r="Q227" s="24"/>
      <c r="R227" s="24"/>
      <c r="S227" s="46" t="str">
        <f>IF(Project_Tracker[[#This Row],[Project Lead]]="", "", IFERROR(VLOOKUP(Project_Tracker[[#This Row],[Project Lead]], Setting!C:D, 2, 0), ""))</f>
        <v>dhany_indraswara@banpuindo.co.id</v>
      </c>
      <c r="T227" s="47"/>
      <c r="U227" s="37" t="str">
        <f>Project_Tracker[[#This Row],[Project Lead]]&amp;", "&amp;Project_Tracker[[#This Row],[Team Collaboration]]</f>
        <v>DHI, RAR</v>
      </c>
      <c r="V227" s="37"/>
      <c r="W227" s="37"/>
      <c r="X227" s="56"/>
      <c r="Y227" s="9" t="s">
        <v>713</v>
      </c>
      <c r="Z227" s="10"/>
      <c r="AA227" s="10"/>
      <c r="AB227" s="10"/>
      <c r="AC227" s="10">
        <v>2026</v>
      </c>
    </row>
    <row r="228" spans="1:29" s="116" customFormat="1" ht="20.399999999999999" x14ac:dyDescent="0.3">
      <c r="A228" s="17">
        <v>102</v>
      </c>
      <c r="B228" s="18" t="s">
        <v>707</v>
      </c>
      <c r="C228" s="119" t="s">
        <v>764</v>
      </c>
      <c r="D228" s="55">
        <v>6.7</v>
      </c>
      <c r="E228" s="147" t="s">
        <v>539</v>
      </c>
      <c r="F228" s="42" t="s">
        <v>540</v>
      </c>
      <c r="G228" s="42" t="s">
        <v>70</v>
      </c>
      <c r="H228" s="135">
        <v>0.8</v>
      </c>
      <c r="I228" s="137" t="s">
        <v>43</v>
      </c>
      <c r="J228" s="23"/>
      <c r="K228" s="23"/>
      <c r="L228" s="24" t="s">
        <v>718</v>
      </c>
      <c r="M228" s="18" t="s">
        <v>765</v>
      </c>
      <c r="N228" s="21" t="s">
        <v>766</v>
      </c>
      <c r="O228" s="24"/>
      <c r="P228" s="24"/>
      <c r="Q228" s="24"/>
      <c r="R228" s="24"/>
      <c r="S228" s="46" t="str">
        <f>IF(Project_Tracker[[#This Row],[Project Lead]]="", "", IFERROR(VLOOKUP(Project_Tracker[[#This Row],[Project Lead]], Setting!C:D, 2, 0), ""))</f>
        <v/>
      </c>
      <c r="T228" s="47"/>
      <c r="U228" s="37" t="str">
        <f>Project_Tracker[[#This Row],[Project Lead]]&amp;", "&amp;Project_Tracker[[#This Row],[Team Collaboration]]</f>
        <v>RAR, DHI</v>
      </c>
      <c r="V228" s="37"/>
      <c r="W228" s="37"/>
      <c r="X228" s="56"/>
      <c r="Y228" s="9" t="s">
        <v>713</v>
      </c>
      <c r="Z228" s="10"/>
      <c r="AA228" s="10"/>
      <c r="AB228" s="10"/>
      <c r="AC228" s="10">
        <v>2026</v>
      </c>
    </row>
    <row r="229" spans="1:29" s="116" customFormat="1" ht="10.199999999999999" x14ac:dyDescent="0.3">
      <c r="A229" s="17">
        <v>103</v>
      </c>
      <c r="B229" s="18" t="s">
        <v>707</v>
      </c>
      <c r="C229" s="119" t="s">
        <v>764</v>
      </c>
      <c r="D229" s="55">
        <v>6.8</v>
      </c>
      <c r="E229" s="124" t="s">
        <v>610</v>
      </c>
      <c r="F229" s="42" t="s">
        <v>540</v>
      </c>
      <c r="G229" s="42" t="s">
        <v>70</v>
      </c>
      <c r="H229" s="135">
        <v>0</v>
      </c>
      <c r="I229" s="137" t="s">
        <v>43</v>
      </c>
      <c r="J229" s="23"/>
      <c r="K229" s="23"/>
      <c r="L229" s="24" t="s">
        <v>44</v>
      </c>
      <c r="M229" s="24"/>
      <c r="N229" s="24"/>
      <c r="O229" s="24"/>
      <c r="P229" s="24"/>
      <c r="Q229" s="24"/>
      <c r="R229" s="24"/>
      <c r="S229" s="46" t="str">
        <f>IF(Project_Tracker[[#This Row],[Project Lead]]="", "", IFERROR(VLOOKUP(Project_Tracker[[#This Row],[Project Lead]], Setting!C:D, 2, 0), ""))</f>
        <v/>
      </c>
      <c r="T229" s="47"/>
      <c r="U229" s="37" t="str">
        <f>Project_Tracker[[#This Row],[Project Lead]]&amp;", "&amp;Project_Tracker[[#This Row],[Team Collaboration]]</f>
        <v>RAR, DHI</v>
      </c>
      <c r="V229" s="37"/>
      <c r="W229" s="37"/>
      <c r="X229" s="56"/>
      <c r="Y229" s="9" t="s">
        <v>713</v>
      </c>
      <c r="Z229" s="10"/>
      <c r="AA229" s="10"/>
      <c r="AB229" s="10"/>
      <c r="AC229" s="10">
        <v>2026</v>
      </c>
    </row>
    <row r="230" spans="1:29" s="116" customFormat="1" ht="10.199999999999999" x14ac:dyDescent="0.3">
      <c r="A230" s="17">
        <v>104</v>
      </c>
      <c r="B230" s="18" t="s">
        <v>707</v>
      </c>
      <c r="C230" s="119" t="s">
        <v>764</v>
      </c>
      <c r="D230" s="55">
        <v>6.9</v>
      </c>
      <c r="E230" s="124" t="s">
        <v>612</v>
      </c>
      <c r="F230" s="42" t="s">
        <v>70</v>
      </c>
      <c r="G230" s="42" t="s">
        <v>540</v>
      </c>
      <c r="H230" s="135">
        <v>0</v>
      </c>
      <c r="I230" s="137" t="s">
        <v>43</v>
      </c>
      <c r="J230" s="23"/>
      <c r="K230" s="23"/>
      <c r="L230" s="24" t="s">
        <v>44</v>
      </c>
      <c r="M230" s="24"/>
      <c r="N230" s="24"/>
      <c r="O230" s="24"/>
      <c r="P230" s="24"/>
      <c r="Q230" s="24"/>
      <c r="R230" s="24"/>
      <c r="S230" s="46" t="str">
        <f>IF(Project_Tracker[[#This Row],[Project Lead]]="", "", IFERROR(VLOOKUP(Project_Tracker[[#This Row],[Project Lead]], Setting!C:D, 2, 0), ""))</f>
        <v>dhany_indraswara@banpuindo.co.id</v>
      </c>
      <c r="T230" s="47"/>
      <c r="U230" s="37" t="str">
        <f>Project_Tracker[[#This Row],[Project Lead]]&amp;", "&amp;Project_Tracker[[#This Row],[Team Collaboration]]</f>
        <v>DHI, RAR</v>
      </c>
      <c r="V230" s="37"/>
      <c r="W230" s="37"/>
      <c r="X230" s="56"/>
      <c r="Y230" s="9" t="s">
        <v>713</v>
      </c>
      <c r="Z230" s="10"/>
      <c r="AA230" s="10"/>
      <c r="AB230" s="10"/>
      <c r="AC230" s="10">
        <v>2026</v>
      </c>
    </row>
    <row r="231" spans="1:29" s="116" customFormat="1" ht="10.199999999999999" x14ac:dyDescent="0.3">
      <c r="A231" s="17">
        <v>105</v>
      </c>
      <c r="B231" s="18" t="s">
        <v>707</v>
      </c>
      <c r="C231" s="119" t="s">
        <v>764</v>
      </c>
      <c r="D231" s="55">
        <v>6.1</v>
      </c>
      <c r="E231" s="147" t="s">
        <v>614</v>
      </c>
      <c r="F231" s="42" t="s">
        <v>540</v>
      </c>
      <c r="G231" s="42" t="s">
        <v>70</v>
      </c>
      <c r="H231" s="135">
        <v>0.7</v>
      </c>
      <c r="I231" s="137" t="s">
        <v>43</v>
      </c>
      <c r="J231" s="23"/>
      <c r="K231" s="23"/>
      <c r="L231" s="24" t="s">
        <v>718</v>
      </c>
      <c r="M231" s="24"/>
      <c r="N231" s="24"/>
      <c r="O231" s="24"/>
      <c r="P231" s="24"/>
      <c r="Q231" s="24"/>
      <c r="R231" s="24"/>
      <c r="S231" s="46" t="str">
        <f>IF(Project_Tracker[[#This Row],[Project Lead]]="", "", IFERROR(VLOOKUP(Project_Tracker[[#This Row],[Project Lead]], Setting!C:D, 2, 0), ""))</f>
        <v/>
      </c>
      <c r="T231" s="47"/>
      <c r="U231" s="37" t="str">
        <f>Project_Tracker[[#This Row],[Project Lead]]&amp;", "&amp;Project_Tracker[[#This Row],[Team Collaboration]]</f>
        <v>RAR, DHI</v>
      </c>
      <c r="V231" s="37"/>
      <c r="W231" s="37"/>
      <c r="X231" s="56"/>
      <c r="Y231" s="9" t="s">
        <v>713</v>
      </c>
      <c r="Z231" s="10"/>
      <c r="AA231" s="10"/>
      <c r="AB231" s="10"/>
      <c r="AC231" s="10">
        <v>2026</v>
      </c>
    </row>
    <row r="232" spans="1:29" s="116" customFormat="1" ht="10.199999999999999" x14ac:dyDescent="0.3">
      <c r="A232" s="17">
        <v>106</v>
      </c>
      <c r="B232" s="18" t="s">
        <v>707</v>
      </c>
      <c r="C232" s="119" t="s">
        <v>764</v>
      </c>
      <c r="D232" s="55">
        <v>6.11</v>
      </c>
      <c r="E232" s="147" t="s">
        <v>618</v>
      </c>
      <c r="F232" s="42" t="s">
        <v>70</v>
      </c>
      <c r="G232" s="42" t="s">
        <v>540</v>
      </c>
      <c r="H232" s="135">
        <v>0</v>
      </c>
      <c r="I232" s="137" t="s">
        <v>43</v>
      </c>
      <c r="J232" s="23"/>
      <c r="K232" s="23"/>
      <c r="L232" s="24" t="s">
        <v>44</v>
      </c>
      <c r="M232" s="24"/>
      <c r="N232" s="24"/>
      <c r="O232" s="24"/>
      <c r="P232" s="24"/>
      <c r="Q232" s="24"/>
      <c r="R232" s="24"/>
      <c r="S232" s="46" t="str">
        <f>IF(Project_Tracker[[#This Row],[Project Lead]]="", "", IFERROR(VLOOKUP(Project_Tracker[[#This Row],[Project Lead]], Setting!C:D, 2, 0), ""))</f>
        <v>dhany_indraswara@banpuindo.co.id</v>
      </c>
      <c r="T232" s="47"/>
      <c r="U232" s="37" t="str">
        <f>Project_Tracker[[#This Row],[Project Lead]]&amp;", "&amp;Project_Tracker[[#This Row],[Team Collaboration]]</f>
        <v>DHI, RAR</v>
      </c>
      <c r="V232" s="37"/>
      <c r="W232" s="37"/>
      <c r="X232" s="56"/>
      <c r="Y232" s="9" t="s">
        <v>713</v>
      </c>
      <c r="Z232" s="10"/>
      <c r="AA232" s="10"/>
      <c r="AB232" s="10"/>
      <c r="AC232" s="10">
        <v>2026</v>
      </c>
    </row>
    <row r="233" spans="1:29" s="116" customFormat="1" ht="10.199999999999999" x14ac:dyDescent="0.3">
      <c r="A233" s="17">
        <v>107</v>
      </c>
      <c r="B233" s="18" t="s">
        <v>767</v>
      </c>
      <c r="C233" s="119" t="s">
        <v>764</v>
      </c>
      <c r="D233" s="55">
        <v>6.12</v>
      </c>
      <c r="E233" s="147" t="s">
        <v>620</v>
      </c>
      <c r="F233" s="42" t="s">
        <v>540</v>
      </c>
      <c r="G233" s="42" t="s">
        <v>70</v>
      </c>
      <c r="H233" s="135">
        <v>0.5</v>
      </c>
      <c r="I233" s="137" t="s">
        <v>43</v>
      </c>
      <c r="J233" s="23"/>
      <c r="K233" s="23"/>
      <c r="L233" s="24" t="s">
        <v>718</v>
      </c>
      <c r="M233" s="18" t="s">
        <v>768</v>
      </c>
      <c r="N233" s="21" t="s">
        <v>769</v>
      </c>
      <c r="O233" s="24"/>
      <c r="P233" s="24"/>
      <c r="Q233" s="24"/>
      <c r="R233" s="24"/>
      <c r="S233" s="46" t="str">
        <f>IF(Project_Tracker[[#This Row],[Project Lead]]="", "", IFERROR(VLOOKUP(Project_Tracker[[#This Row],[Project Lead]], Setting!C:D, 2, 0), ""))</f>
        <v/>
      </c>
      <c r="T233" s="47"/>
      <c r="U233" s="37" t="str">
        <f>Project_Tracker[[#This Row],[Project Lead]]&amp;", "&amp;Project_Tracker[[#This Row],[Team Collaboration]]</f>
        <v>RAR, DHI</v>
      </c>
      <c r="V233" s="37"/>
      <c r="W233" s="37"/>
      <c r="X233" s="56"/>
      <c r="Y233" s="9" t="s">
        <v>713</v>
      </c>
      <c r="Z233" s="10"/>
      <c r="AA233" s="10"/>
      <c r="AB233" s="10"/>
      <c r="AC233" s="10">
        <v>2026</v>
      </c>
    </row>
    <row r="234" spans="1:29" s="116" customFormat="1" ht="20.399999999999999" x14ac:dyDescent="0.3">
      <c r="A234" s="17">
        <v>108</v>
      </c>
      <c r="B234" s="86" t="s">
        <v>770</v>
      </c>
      <c r="C234" s="120" t="s">
        <v>771</v>
      </c>
      <c r="D234" s="55">
        <v>104</v>
      </c>
      <c r="E234" s="128" t="s">
        <v>771</v>
      </c>
      <c r="F234" s="42" t="s">
        <v>85</v>
      </c>
      <c r="G234" s="20"/>
      <c r="H234" s="135">
        <v>0</v>
      </c>
      <c r="I234" s="65" t="s">
        <v>411</v>
      </c>
      <c r="J234" s="23"/>
      <c r="K234" s="23"/>
      <c r="L234" s="24" t="s">
        <v>44</v>
      </c>
      <c r="M234" s="24"/>
      <c r="N234" s="24"/>
      <c r="O234" s="24"/>
      <c r="P234" s="24"/>
      <c r="Q234" s="24"/>
      <c r="R234" s="24"/>
      <c r="S234" s="46" t="str">
        <f>IF(Project_Tracker[[#This Row],[Project Lead]]="", "", IFERROR(VLOOKUP(Project_Tracker[[#This Row],[Project Lead]], Setting!C:D, 2, 0), ""))</f>
        <v>andri_s@banpuindo.co.id</v>
      </c>
      <c r="T234" s="47"/>
      <c r="U234" s="37" t="str">
        <f>Project_Tracker[[#This Row],[Project Lead]]&amp;", "&amp;Project_Tracker[[#This Row],[Team Collaboration]]</f>
        <v xml:space="preserve">ASN, </v>
      </c>
      <c r="V234" s="37"/>
      <c r="W234" s="37"/>
      <c r="X234" s="56"/>
      <c r="Y234" s="10"/>
      <c r="Z234" s="10"/>
      <c r="AA234" s="10"/>
      <c r="AB234" s="10"/>
      <c r="AC234" s="10">
        <v>2026</v>
      </c>
    </row>
    <row r="235" spans="1:29" s="116" customFormat="1" ht="61.2" x14ac:dyDescent="0.3">
      <c r="A235" s="17">
        <v>109</v>
      </c>
      <c r="B235" s="86" t="s">
        <v>770</v>
      </c>
      <c r="C235" s="121" t="s">
        <v>772</v>
      </c>
      <c r="D235" s="55">
        <v>105</v>
      </c>
      <c r="E235" s="124" t="s">
        <v>772</v>
      </c>
      <c r="F235" s="42" t="s">
        <v>33</v>
      </c>
      <c r="G235" s="20" t="s">
        <v>582</v>
      </c>
      <c r="H235" s="135">
        <v>0.8</v>
      </c>
      <c r="I235" s="65" t="s">
        <v>347</v>
      </c>
      <c r="J235" s="23">
        <v>46073</v>
      </c>
      <c r="K235" s="23"/>
      <c r="L235" s="24" t="s">
        <v>7</v>
      </c>
      <c r="M235" s="18" t="s">
        <v>773</v>
      </c>
      <c r="N235" s="18" t="s">
        <v>774</v>
      </c>
      <c r="O235" s="24"/>
      <c r="P235" s="24"/>
      <c r="Q235" s="24"/>
      <c r="R235" s="24"/>
      <c r="S235" s="46" t="str">
        <f>IF(Project_Tracker[[#This Row],[Project Lead]]="", "", IFERROR(VLOOKUP(Project_Tracker[[#This Row],[Project Lead]], Setting!C:D, 2, 0), ""))</f>
        <v>aldy_rienaldy@banpuindo.co.id</v>
      </c>
      <c r="T235" s="47"/>
      <c r="U235" s="37" t="str">
        <f>Project_Tracker[[#This Row],[Project Lead]]&amp;", "&amp;Project_Tracker[[#This Row],[Team Collaboration]]</f>
        <v>ALR, ASN, RAR, DHI, RPR</v>
      </c>
      <c r="V235" s="37"/>
      <c r="W235" s="37"/>
      <c r="X235" s="56"/>
      <c r="Y235" s="10"/>
      <c r="Z235" s="140">
        <v>46023</v>
      </c>
      <c r="AA235" s="140">
        <v>46081</v>
      </c>
      <c r="AB235" s="10"/>
      <c r="AC235" s="10">
        <v>2026</v>
      </c>
    </row>
    <row r="236" spans="1:29" s="116" customFormat="1" ht="10.199999999999999" x14ac:dyDescent="0.3">
      <c r="A236" s="17">
        <v>110</v>
      </c>
      <c r="B236" s="86" t="s">
        <v>770</v>
      </c>
      <c r="C236" s="122" t="s">
        <v>775</v>
      </c>
      <c r="D236" s="55">
        <v>106</v>
      </c>
      <c r="E236" s="133" t="s">
        <v>775</v>
      </c>
      <c r="F236" s="42" t="s">
        <v>85</v>
      </c>
      <c r="G236" s="20"/>
      <c r="H236" s="135">
        <v>0</v>
      </c>
      <c r="I236" s="65" t="s">
        <v>43</v>
      </c>
      <c r="J236" s="23"/>
      <c r="K236" s="23"/>
      <c r="L236" s="24" t="s">
        <v>44</v>
      </c>
      <c r="M236" s="24"/>
      <c r="N236" s="24"/>
      <c r="O236" s="24"/>
      <c r="P236" s="24"/>
      <c r="Q236" s="24"/>
      <c r="R236" s="24"/>
      <c r="S236" s="46" t="str">
        <f>IF(Project_Tracker[[#This Row],[Project Lead]]="", "", IFERROR(VLOOKUP(Project_Tracker[[#This Row],[Project Lead]], Setting!C:D, 2, 0), ""))</f>
        <v>andri_s@banpuindo.co.id</v>
      </c>
      <c r="T236" s="47"/>
      <c r="U236" s="37" t="str">
        <f>Project_Tracker[[#This Row],[Project Lead]]&amp;", "&amp;Project_Tracker[[#This Row],[Team Collaboration]]</f>
        <v xml:space="preserve">ASN, </v>
      </c>
      <c r="V236" s="37"/>
      <c r="W236" s="37"/>
      <c r="X236" s="56"/>
      <c r="Y236" s="138" t="s">
        <v>776</v>
      </c>
      <c r="Z236" s="10"/>
      <c r="AA236" s="10"/>
      <c r="AB236" s="10"/>
      <c r="AC236" s="10">
        <v>2026</v>
      </c>
    </row>
    <row r="237" spans="1:29" s="116" customFormat="1" ht="10.199999999999999" x14ac:dyDescent="0.3">
      <c r="A237" s="17">
        <v>111</v>
      </c>
      <c r="B237" s="86" t="s">
        <v>770</v>
      </c>
      <c r="C237" s="119" t="s">
        <v>777</v>
      </c>
      <c r="D237" s="55">
        <v>107</v>
      </c>
      <c r="E237" s="130" t="s">
        <v>777</v>
      </c>
      <c r="F237" s="42" t="s">
        <v>70</v>
      </c>
      <c r="G237" s="20"/>
      <c r="H237" s="135">
        <v>0</v>
      </c>
      <c r="I237" s="65" t="s">
        <v>411</v>
      </c>
      <c r="J237" s="23"/>
      <c r="K237" s="23"/>
      <c r="L237" s="24" t="s">
        <v>44</v>
      </c>
      <c r="M237" s="24"/>
      <c r="N237" s="24"/>
      <c r="O237" s="24"/>
      <c r="P237" s="24"/>
      <c r="Q237" s="24"/>
      <c r="R237" s="24"/>
      <c r="S237" s="46" t="str">
        <f>IF(Project_Tracker[[#This Row],[Project Lead]]="", "", IFERROR(VLOOKUP(Project_Tracker[[#This Row],[Project Lead]], Setting!C:D, 2, 0), ""))</f>
        <v>dhany_indraswara@banpuindo.co.id</v>
      </c>
      <c r="T237" s="47"/>
      <c r="U237" s="37" t="str">
        <f>Project_Tracker[[#This Row],[Project Lead]]&amp;", "&amp;Project_Tracker[[#This Row],[Team Collaboration]]</f>
        <v xml:space="preserve">DHI, </v>
      </c>
      <c r="V237" s="37"/>
      <c r="W237" s="37"/>
      <c r="X237" s="56"/>
      <c r="Y237" s="10"/>
      <c r="Z237" s="10"/>
      <c r="AA237" s="10"/>
      <c r="AB237" s="10"/>
      <c r="AC237" s="10">
        <v>2026</v>
      </c>
    </row>
    <row r="238" spans="1:29" s="116" customFormat="1" ht="10.199999999999999" x14ac:dyDescent="0.3">
      <c r="A238" s="17">
        <v>112</v>
      </c>
      <c r="B238" s="86" t="s">
        <v>770</v>
      </c>
      <c r="C238" s="119" t="s">
        <v>778</v>
      </c>
      <c r="D238" s="55">
        <v>108</v>
      </c>
      <c r="E238" s="130" t="s">
        <v>778</v>
      </c>
      <c r="F238" s="42" t="s">
        <v>70</v>
      </c>
      <c r="G238" s="20"/>
      <c r="H238" s="135">
        <v>0</v>
      </c>
      <c r="I238" s="65" t="s">
        <v>411</v>
      </c>
      <c r="J238" s="23"/>
      <c r="K238" s="23"/>
      <c r="L238" s="24" t="s">
        <v>44</v>
      </c>
      <c r="M238" s="24"/>
      <c r="N238" s="24"/>
      <c r="O238" s="24"/>
      <c r="P238" s="24"/>
      <c r="Q238" s="24"/>
      <c r="R238" s="24"/>
      <c r="S238" s="46" t="str">
        <f>IF(Project_Tracker[[#This Row],[Project Lead]]="", "", IFERROR(VLOOKUP(Project_Tracker[[#This Row],[Project Lead]], Setting!C:D, 2, 0), ""))</f>
        <v>dhany_indraswara@banpuindo.co.id</v>
      </c>
      <c r="T238" s="47"/>
      <c r="U238" s="37" t="str">
        <f>Project_Tracker[[#This Row],[Project Lead]]&amp;", "&amp;Project_Tracker[[#This Row],[Team Collaboration]]</f>
        <v xml:space="preserve">DHI, </v>
      </c>
      <c r="V238" s="37"/>
      <c r="W238" s="37"/>
      <c r="X238" s="56"/>
      <c r="Y238" s="10"/>
      <c r="Z238" s="10"/>
      <c r="AA238" s="10"/>
      <c r="AB238" s="10"/>
      <c r="AC238" s="10">
        <v>2026</v>
      </c>
    </row>
    <row r="239" spans="1:29" s="116" customFormat="1" ht="10.199999999999999" x14ac:dyDescent="0.3">
      <c r="A239" s="17">
        <v>113</v>
      </c>
      <c r="B239" s="18" t="s">
        <v>779</v>
      </c>
      <c r="C239" s="123" t="s">
        <v>780</v>
      </c>
      <c r="D239" s="55">
        <v>109</v>
      </c>
      <c r="E239" s="149" t="s">
        <v>780</v>
      </c>
      <c r="F239" s="42" t="s">
        <v>70</v>
      </c>
      <c r="G239" s="20"/>
      <c r="H239" s="135">
        <v>0</v>
      </c>
      <c r="I239" s="137" t="s">
        <v>243</v>
      </c>
      <c r="J239" s="23"/>
      <c r="K239" s="23"/>
      <c r="L239" s="24" t="s">
        <v>44</v>
      </c>
      <c r="M239" s="24"/>
      <c r="N239" s="24"/>
      <c r="O239" s="24"/>
      <c r="P239" s="24"/>
      <c r="Q239" s="24"/>
      <c r="R239" s="24"/>
      <c r="S239" s="46" t="str">
        <f>IF(Project_Tracker[[#This Row],[Project Lead]]="", "", IFERROR(VLOOKUP(Project_Tracker[[#This Row],[Project Lead]], Setting!C:D, 2, 0), ""))</f>
        <v>dhany_indraswara@banpuindo.co.id</v>
      </c>
      <c r="T239" s="47"/>
      <c r="U239" s="37" t="str">
        <f>Project_Tracker[[#This Row],[Project Lead]]&amp;", "&amp;Project_Tracker[[#This Row],[Team Collaboration]]</f>
        <v xml:space="preserve">DHI, </v>
      </c>
      <c r="V239" s="37"/>
      <c r="W239" s="37"/>
      <c r="X239" s="56"/>
      <c r="Y239" s="10"/>
      <c r="Z239" s="140">
        <v>46023</v>
      </c>
      <c r="AA239" s="140">
        <v>46068</v>
      </c>
      <c r="AB239" s="10"/>
      <c r="AC239" s="10">
        <v>2026</v>
      </c>
    </row>
    <row r="240" spans="1:29" s="116" customFormat="1" ht="61.2" x14ac:dyDescent="0.3">
      <c r="A240" s="17">
        <v>114</v>
      </c>
      <c r="B240" s="18" t="s">
        <v>779</v>
      </c>
      <c r="C240" s="123" t="s">
        <v>781</v>
      </c>
      <c r="D240" s="55">
        <v>110</v>
      </c>
      <c r="E240" s="149" t="s">
        <v>781</v>
      </c>
      <c r="F240" s="42" t="s">
        <v>70</v>
      </c>
      <c r="G240" s="20"/>
      <c r="H240" s="135">
        <v>0.9</v>
      </c>
      <c r="I240" s="137" t="s">
        <v>243</v>
      </c>
      <c r="J240" s="23"/>
      <c r="K240" s="23"/>
      <c r="L240" s="24" t="s">
        <v>7</v>
      </c>
      <c r="M240" s="18" t="s">
        <v>782</v>
      </c>
      <c r="N240" s="18" t="s">
        <v>783</v>
      </c>
      <c r="O240" s="24"/>
      <c r="P240" s="24"/>
      <c r="Q240" s="24"/>
      <c r="R240" s="24"/>
      <c r="S240" s="46" t="str">
        <f>IF(Project_Tracker[[#This Row],[Project Lead]]="", "", IFERROR(VLOOKUP(Project_Tracker[[#This Row],[Project Lead]], Setting!C:D, 2, 0), ""))</f>
        <v>dhany_indraswara@banpuindo.co.id</v>
      </c>
      <c r="T240" s="47"/>
      <c r="U240" s="37" t="str">
        <f>Project_Tracker[[#This Row],[Project Lead]]&amp;", "&amp;Project_Tracker[[#This Row],[Team Collaboration]]</f>
        <v xml:space="preserve">DHI, </v>
      </c>
      <c r="V240" s="37"/>
      <c r="W240" s="37"/>
      <c r="X240" s="56"/>
      <c r="Y240" s="10"/>
      <c r="Z240" s="140">
        <v>46023</v>
      </c>
      <c r="AA240" s="140">
        <v>46081</v>
      </c>
      <c r="AB240" s="10"/>
      <c r="AC240" s="10">
        <v>2026</v>
      </c>
    </row>
    <row r="241" spans="1:29" s="116" customFormat="1" ht="10.199999999999999" x14ac:dyDescent="0.3">
      <c r="A241" s="17">
        <v>115</v>
      </c>
      <c r="B241" s="18" t="s">
        <v>779</v>
      </c>
      <c r="C241" s="123" t="s">
        <v>784</v>
      </c>
      <c r="D241" s="55">
        <v>111</v>
      </c>
      <c r="E241" s="129" t="s">
        <v>784</v>
      </c>
      <c r="F241" s="42" t="s">
        <v>70</v>
      </c>
      <c r="G241" s="20"/>
      <c r="H241" s="135">
        <v>0.3</v>
      </c>
      <c r="I241" s="137" t="s">
        <v>243</v>
      </c>
      <c r="J241" s="23"/>
      <c r="K241" s="23"/>
      <c r="L241" s="24" t="s">
        <v>7</v>
      </c>
      <c r="M241" s="21"/>
      <c r="N241" s="21"/>
      <c r="O241" s="24"/>
      <c r="P241" s="24"/>
      <c r="Q241" s="24"/>
      <c r="R241" s="24"/>
      <c r="S241" s="46" t="str">
        <f>IF(Project_Tracker[[#This Row],[Project Lead]]="", "", IFERROR(VLOOKUP(Project_Tracker[[#This Row],[Project Lead]], Setting!C:D, 2, 0), ""))</f>
        <v>dhany_indraswara@banpuindo.co.id</v>
      </c>
      <c r="T241" s="47"/>
      <c r="U241" s="37" t="str">
        <f>Project_Tracker[[#This Row],[Project Lead]]&amp;", "&amp;Project_Tracker[[#This Row],[Team Collaboration]]</f>
        <v xml:space="preserve">DHI, </v>
      </c>
      <c r="V241" s="37"/>
      <c r="W241" s="37"/>
      <c r="X241" s="56"/>
      <c r="Y241" s="9" t="s">
        <v>785</v>
      </c>
      <c r="Z241" s="140">
        <v>46023</v>
      </c>
      <c r="AA241" s="140">
        <v>46111</v>
      </c>
      <c r="AB241" s="10"/>
      <c r="AC241" s="10">
        <v>2026</v>
      </c>
    </row>
    <row r="242" spans="1:29" s="116" customFormat="1" ht="10.199999999999999" x14ac:dyDescent="0.3">
      <c r="A242" s="17">
        <v>116</v>
      </c>
      <c r="B242" s="18" t="s">
        <v>779</v>
      </c>
      <c r="C242" s="123" t="s">
        <v>786</v>
      </c>
      <c r="D242" s="55">
        <v>112</v>
      </c>
      <c r="E242" s="149" t="s">
        <v>786</v>
      </c>
      <c r="F242" s="42" t="s">
        <v>70</v>
      </c>
      <c r="G242" s="20"/>
      <c r="H242" s="135">
        <v>0.72</v>
      </c>
      <c r="I242" s="137" t="s">
        <v>243</v>
      </c>
      <c r="J242" s="23"/>
      <c r="K242" s="23"/>
      <c r="L242" s="24" t="s">
        <v>7</v>
      </c>
      <c r="M242" s="21"/>
      <c r="N242" s="21"/>
      <c r="O242" s="24"/>
      <c r="P242" s="24"/>
      <c r="Q242" s="24"/>
      <c r="R242" s="24"/>
      <c r="S242" s="46" t="str">
        <f>IF(Project_Tracker[[#This Row],[Project Lead]]="", "", IFERROR(VLOOKUP(Project_Tracker[[#This Row],[Project Lead]], Setting!C:D, 2, 0), ""))</f>
        <v>dhany_indraswara@banpuindo.co.id</v>
      </c>
      <c r="T242" s="47"/>
      <c r="U242" s="37" t="str">
        <f>Project_Tracker[[#This Row],[Project Lead]]&amp;", "&amp;Project_Tracker[[#This Row],[Team Collaboration]]</f>
        <v xml:space="preserve">DHI, </v>
      </c>
      <c r="V242" s="37"/>
      <c r="W242" s="37"/>
      <c r="X242" s="56"/>
      <c r="Y242" s="9" t="s">
        <v>785</v>
      </c>
      <c r="Z242" s="140">
        <v>46023</v>
      </c>
      <c r="AA242" s="140">
        <v>46111</v>
      </c>
      <c r="AB242" s="10"/>
      <c r="AC242" s="10">
        <v>2026</v>
      </c>
    </row>
    <row r="243" spans="1:29" s="116" customFormat="1" ht="10.199999999999999" x14ac:dyDescent="0.3">
      <c r="A243" s="17">
        <v>113</v>
      </c>
      <c r="B243" s="18" t="s">
        <v>779</v>
      </c>
      <c r="C243" s="123" t="s">
        <v>787</v>
      </c>
      <c r="D243" s="55">
        <v>113</v>
      </c>
      <c r="E243" s="129" t="s">
        <v>787</v>
      </c>
      <c r="F243" s="42" t="s">
        <v>70</v>
      </c>
      <c r="G243" s="20"/>
      <c r="H243" s="135">
        <v>0</v>
      </c>
      <c r="I243" s="137"/>
      <c r="J243" s="23"/>
      <c r="K243" s="23"/>
      <c r="L243" s="24" t="s">
        <v>44</v>
      </c>
      <c r="M243" s="24"/>
      <c r="N243" s="24"/>
      <c r="O243" s="24"/>
      <c r="P243" s="24"/>
      <c r="Q243" s="24"/>
      <c r="R243" s="24"/>
      <c r="S243" s="46" t="str">
        <f>IF(Project_Tracker[[#This Row],[Project Lead]]="", "", IFERROR(VLOOKUP(Project_Tracker[[#This Row],[Project Lead]], Setting!C:D, 2, 0), ""))</f>
        <v>dhany_indraswara@banpuindo.co.id</v>
      </c>
      <c r="T243" s="47"/>
      <c r="U243" s="37" t="str">
        <f>Project_Tracker[[#This Row],[Project Lead]]&amp;", "&amp;Project_Tracker[[#This Row],[Team Collaboration]]</f>
        <v xml:space="preserve">DHI, </v>
      </c>
      <c r="V243" s="37"/>
      <c r="W243" s="37"/>
      <c r="X243" s="56"/>
      <c r="Y243" s="10"/>
      <c r="Z243" s="10"/>
      <c r="AA243" s="10"/>
      <c r="AB243" s="10"/>
      <c r="AC243" s="10"/>
    </row>
    <row r="244" spans="1:29" ht="10.199999999999999" x14ac:dyDescent="0.3">
      <c r="A244" s="17"/>
      <c r="B244" s="18"/>
      <c r="C244" s="95"/>
      <c r="D244" s="55"/>
      <c r="E244" s="131"/>
      <c r="F244" s="42"/>
      <c r="G244" s="20"/>
      <c r="H244" s="136"/>
      <c r="I244" s="23"/>
      <c r="J244" s="23"/>
      <c r="K244" s="23"/>
      <c r="L244" s="24"/>
      <c r="M244" s="24"/>
      <c r="N244" s="24"/>
      <c r="O244" s="24"/>
      <c r="P244" s="24"/>
      <c r="Q244" s="24"/>
      <c r="R244" s="24"/>
      <c r="S244" s="46" t="str">
        <f>IF(Project_Tracker[[#This Row],[Project Lead]]="", "", IFERROR(VLOOKUP(Project_Tracker[[#This Row],[Project Lead]], Setting!C:D, 2, 0), ""))</f>
        <v/>
      </c>
      <c r="T244" s="47"/>
      <c r="U244" s="37" t="str">
        <f>Project_Tracker[[#This Row],[Project Lead]]&amp;", "&amp;Project_Tracker[[#This Row],[Team Collaboration]]</f>
        <v xml:space="preserve">, </v>
      </c>
      <c r="V244" s="37"/>
      <c r="W244" s="37"/>
      <c r="X244" s="56"/>
      <c r="Y244" s="10"/>
      <c r="Z244" s="10"/>
    </row>
    <row r="245" spans="1:29" ht="10.199999999999999" x14ac:dyDescent="0.3">
      <c r="A245" s="17"/>
      <c r="B245" s="18"/>
      <c r="C245" s="95"/>
      <c r="D245" s="55"/>
      <c r="E245" s="131"/>
      <c r="F245" s="42"/>
      <c r="G245" s="20"/>
      <c r="H245" s="136"/>
      <c r="I245" s="23"/>
      <c r="J245" s="23"/>
      <c r="K245" s="23"/>
      <c r="L245" s="24"/>
      <c r="M245" s="24"/>
      <c r="N245" s="24"/>
      <c r="O245" s="24"/>
      <c r="P245" s="24"/>
      <c r="Q245" s="24"/>
      <c r="R245" s="24"/>
      <c r="S245" s="46" t="str">
        <f>IF(Project_Tracker[[#This Row],[Project Lead]]="", "", IFERROR(VLOOKUP(Project_Tracker[[#This Row],[Project Lead]], Setting!C:D, 2, 0), ""))</f>
        <v/>
      </c>
      <c r="T245" s="47"/>
      <c r="U245" s="37" t="str">
        <f>Project_Tracker[[#This Row],[Project Lead]]&amp;", "&amp;Project_Tracker[[#This Row],[Team Collaboration]]</f>
        <v xml:space="preserve">, </v>
      </c>
      <c r="V245" s="37"/>
      <c r="W245" s="37"/>
      <c r="X245" s="56"/>
      <c r="Y245" s="10"/>
      <c r="Z245" s="10"/>
    </row>
    <row r="246" spans="1:29" ht="10.199999999999999" x14ac:dyDescent="0.3">
      <c r="A246" s="17"/>
      <c r="B246" s="18"/>
      <c r="C246" s="95"/>
      <c r="D246" s="55"/>
      <c r="E246" s="131"/>
      <c r="F246" s="42"/>
      <c r="G246" s="20"/>
      <c r="H246" s="136"/>
      <c r="I246" s="23"/>
      <c r="J246" s="23"/>
      <c r="K246" s="23"/>
      <c r="L246" s="24"/>
      <c r="M246" s="24"/>
      <c r="N246" s="24"/>
      <c r="O246" s="24"/>
      <c r="P246" s="24"/>
      <c r="Q246" s="24"/>
      <c r="R246" s="24"/>
      <c r="S246" s="46" t="str">
        <f>IF(Project_Tracker[[#This Row],[Project Lead]]="", "", IFERROR(VLOOKUP(Project_Tracker[[#This Row],[Project Lead]], Setting!C:D, 2, 0), ""))</f>
        <v/>
      </c>
      <c r="T246" s="47"/>
      <c r="U246" s="37" t="str">
        <f>Project_Tracker[[#This Row],[Project Lead]]&amp;", "&amp;Project_Tracker[[#This Row],[Team Collaboration]]</f>
        <v xml:space="preserve">, </v>
      </c>
      <c r="V246" s="37"/>
      <c r="W246" s="37"/>
      <c r="X246" s="56"/>
      <c r="Y246" s="10"/>
      <c r="Z246" s="10"/>
    </row>
    <row r="247" spans="1:29" ht="10.199999999999999" x14ac:dyDescent="0.3">
      <c r="A247" s="17"/>
      <c r="B247" s="18"/>
      <c r="C247" s="95"/>
      <c r="D247" s="55"/>
      <c r="E247" s="131"/>
      <c r="F247" s="42"/>
      <c r="G247" s="20"/>
      <c r="H247" s="136"/>
      <c r="I247" s="23"/>
      <c r="J247" s="23"/>
      <c r="K247" s="23"/>
      <c r="L247" s="24"/>
      <c r="M247" s="24"/>
      <c r="N247" s="24"/>
      <c r="O247" s="24"/>
      <c r="P247" s="24"/>
      <c r="Q247" s="24"/>
      <c r="R247" s="24"/>
      <c r="S247" s="46" t="str">
        <f>IF(Project_Tracker[[#This Row],[Project Lead]]="", "", IFERROR(VLOOKUP(Project_Tracker[[#This Row],[Project Lead]], Setting!C:D, 2, 0), ""))</f>
        <v/>
      </c>
      <c r="T247" s="47"/>
      <c r="U247" s="37" t="str">
        <f>Project_Tracker[[#This Row],[Project Lead]]&amp;", "&amp;Project_Tracker[[#This Row],[Team Collaboration]]</f>
        <v xml:space="preserve">, </v>
      </c>
      <c r="V247" s="37"/>
      <c r="W247" s="37"/>
      <c r="X247" s="56"/>
      <c r="Y247" s="10"/>
      <c r="Z247" s="10"/>
    </row>
    <row r="248" spans="1:29" ht="10.199999999999999" x14ac:dyDescent="0.3">
      <c r="A248" s="17"/>
      <c r="B248" s="18"/>
      <c r="C248" s="95"/>
      <c r="D248" s="55"/>
      <c r="E248" s="131"/>
      <c r="F248" s="42" t="s">
        <v>788</v>
      </c>
      <c r="G248" s="20"/>
      <c r="H248" s="136"/>
      <c r="I248" s="23"/>
      <c r="J248" s="23"/>
      <c r="K248" s="23"/>
      <c r="L248" s="24"/>
      <c r="M248" s="24"/>
      <c r="N248" s="24"/>
      <c r="O248" s="24"/>
      <c r="P248" s="24"/>
      <c r="Q248" s="24"/>
      <c r="R248" s="24"/>
      <c r="S248" s="46" t="str">
        <f>IF(Project_Tracker[[#This Row],[Project Lead]]="", "", IFERROR(VLOOKUP(Project_Tracker[[#This Row],[Project Lead]], Setting!C:D, 2, 0), ""))</f>
        <v/>
      </c>
      <c r="T248" s="47"/>
      <c r="U248" s="37" t="str">
        <f>Project_Tracker[[#This Row],[Project Lead]]&amp;", "&amp;Project_Tracker[[#This Row],[Team Collaboration]]</f>
        <v xml:space="preserve"> , </v>
      </c>
      <c r="V248" s="37"/>
      <c r="W248" s="37"/>
      <c r="X248" s="56"/>
      <c r="Y248" s="10"/>
      <c r="Z248" s="10"/>
    </row>
    <row r="249" spans="1:29" ht="10.199999999999999" x14ac:dyDescent="0.3">
      <c r="A249" s="17"/>
      <c r="B249" s="18"/>
      <c r="C249" s="95"/>
      <c r="D249" s="55"/>
      <c r="E249" s="131"/>
      <c r="F249" s="42"/>
      <c r="G249" s="20"/>
      <c r="H249" s="136"/>
      <c r="I249" s="23"/>
      <c r="J249" s="23"/>
      <c r="K249" s="23"/>
      <c r="L249" s="24"/>
      <c r="M249" s="24"/>
      <c r="N249" s="24"/>
      <c r="O249" s="24"/>
      <c r="P249" s="24"/>
      <c r="Q249" s="24"/>
      <c r="R249" s="24"/>
      <c r="S249" s="46" t="str">
        <f>IF(Project_Tracker[[#This Row],[Project Lead]]="", "", IFERROR(VLOOKUP(Project_Tracker[[#This Row],[Project Lead]], Setting!C:D, 2, 0), ""))</f>
        <v/>
      </c>
      <c r="T249" s="47"/>
      <c r="U249" s="37" t="str">
        <f>Project_Tracker[[#This Row],[Project Lead]]&amp;", "&amp;Project_Tracker[[#This Row],[Team Collaboration]]</f>
        <v xml:space="preserve">, </v>
      </c>
      <c r="V249" s="37"/>
      <c r="W249" s="37"/>
      <c r="X249" s="56"/>
      <c r="Y249" s="10"/>
      <c r="Z249" s="10"/>
    </row>
    <row r="250" spans="1:29" ht="10.199999999999999" x14ac:dyDescent="0.3">
      <c r="A250" s="17"/>
      <c r="B250" s="18"/>
      <c r="C250" s="95"/>
      <c r="D250" s="55"/>
      <c r="E250" s="131"/>
      <c r="F250" s="42"/>
      <c r="G250" s="20"/>
      <c r="H250" s="136"/>
      <c r="I250" s="23"/>
      <c r="J250" s="23"/>
      <c r="K250" s="23"/>
      <c r="L250" s="24"/>
      <c r="M250" s="24"/>
      <c r="N250" s="24"/>
      <c r="O250" s="24"/>
      <c r="P250" s="24"/>
      <c r="Q250" s="24"/>
      <c r="R250" s="24"/>
      <c r="S250" s="46" t="str">
        <f>IF(Project_Tracker[[#This Row],[Project Lead]]="", "", IFERROR(VLOOKUP(Project_Tracker[[#This Row],[Project Lead]], Setting!C:D, 2, 0), ""))</f>
        <v/>
      </c>
      <c r="T250" s="47"/>
      <c r="U250" s="37" t="str">
        <f>Project_Tracker[[#This Row],[Project Lead]]&amp;", "&amp;Project_Tracker[[#This Row],[Team Collaboration]]</f>
        <v xml:space="preserve">, </v>
      </c>
      <c r="V250" s="37"/>
      <c r="W250" s="37"/>
      <c r="X250" s="56"/>
      <c r="Y250" s="10"/>
      <c r="Z250" s="10"/>
    </row>
    <row r="251" spans="1:29" ht="10.199999999999999" x14ac:dyDescent="0.3">
      <c r="A251" s="17"/>
      <c r="B251" s="18"/>
      <c r="C251" s="95"/>
      <c r="D251" s="55"/>
      <c r="E251" s="131"/>
      <c r="F251" s="42"/>
      <c r="G251" s="20"/>
      <c r="H251" s="136"/>
      <c r="I251" s="23"/>
      <c r="J251" s="23"/>
      <c r="K251" s="23"/>
      <c r="L251" s="24"/>
      <c r="M251" s="24"/>
      <c r="N251" s="24"/>
      <c r="O251" s="24"/>
      <c r="P251" s="24"/>
      <c r="Q251" s="24"/>
      <c r="R251" s="24"/>
      <c r="S251" s="46" t="str">
        <f>IF(Project_Tracker[[#This Row],[Project Lead]]="", "", IFERROR(VLOOKUP(Project_Tracker[[#This Row],[Project Lead]], Setting!C:D, 2, 0), ""))</f>
        <v/>
      </c>
      <c r="T251" s="47"/>
      <c r="U251" s="37" t="str">
        <f>Project_Tracker[[#This Row],[Project Lead]]&amp;", "&amp;Project_Tracker[[#This Row],[Team Collaboration]]</f>
        <v xml:space="preserve">, </v>
      </c>
      <c r="V251" s="37"/>
      <c r="W251" s="37"/>
      <c r="X251" s="56"/>
      <c r="Y251" s="10"/>
      <c r="Z251" s="10"/>
    </row>
    <row r="252" spans="1:29" ht="10.199999999999999" x14ac:dyDescent="0.3">
      <c r="A252" s="17"/>
      <c r="B252" s="18"/>
      <c r="C252" s="95"/>
      <c r="D252" s="55"/>
      <c r="E252" s="131"/>
      <c r="F252" s="42"/>
      <c r="G252" s="20"/>
      <c r="H252" s="136"/>
      <c r="I252" s="23"/>
      <c r="J252" s="23"/>
      <c r="K252" s="23"/>
      <c r="L252" s="24"/>
      <c r="M252" s="24"/>
      <c r="N252" s="24"/>
      <c r="O252" s="24"/>
      <c r="P252" s="24"/>
      <c r="Q252" s="24"/>
      <c r="R252" s="24"/>
      <c r="S252" s="46" t="str">
        <f>IF(Project_Tracker[[#This Row],[Project Lead]]="", "", IFERROR(VLOOKUP(Project_Tracker[[#This Row],[Project Lead]], Setting!C:D, 2, 0), ""))</f>
        <v/>
      </c>
      <c r="T252" s="47"/>
      <c r="U252" s="37" t="str">
        <f>Project_Tracker[[#This Row],[Project Lead]]&amp;", "&amp;Project_Tracker[[#This Row],[Team Collaboration]]</f>
        <v xml:space="preserve">, </v>
      </c>
      <c r="V252" s="37"/>
      <c r="W252" s="37"/>
      <c r="X252" s="56"/>
      <c r="Y252" s="10"/>
      <c r="Z252" s="10"/>
    </row>
    <row r="253" spans="1:29" ht="10.199999999999999" x14ac:dyDescent="0.3">
      <c r="A253" s="17"/>
      <c r="B253" s="18"/>
      <c r="C253" s="95"/>
      <c r="D253" s="55"/>
      <c r="E253" s="131"/>
      <c r="F253" s="42"/>
      <c r="G253" s="20"/>
      <c r="H253" s="136"/>
      <c r="I253" s="23"/>
      <c r="J253" s="23"/>
      <c r="K253" s="23"/>
      <c r="L253" s="24"/>
      <c r="M253" s="24"/>
      <c r="N253" s="24"/>
      <c r="O253" s="24"/>
      <c r="P253" s="24"/>
      <c r="Q253" s="24"/>
      <c r="R253" s="24"/>
      <c r="S253" s="46" t="str">
        <f>IF(Project_Tracker[[#This Row],[Project Lead]]="", "", IFERROR(VLOOKUP(Project_Tracker[[#This Row],[Project Lead]], Setting!C:D, 2, 0), ""))</f>
        <v/>
      </c>
      <c r="T253" s="47"/>
      <c r="U253" s="37" t="str">
        <f>Project_Tracker[[#This Row],[Project Lead]]&amp;", "&amp;Project_Tracker[[#This Row],[Team Collaboration]]</f>
        <v xml:space="preserve">, </v>
      </c>
      <c r="V253" s="37"/>
      <c r="W253" s="37"/>
      <c r="X253" s="56"/>
      <c r="Y253" s="10"/>
      <c r="Z253" s="10"/>
    </row>
    <row r="254" spans="1:29" ht="10.199999999999999" x14ac:dyDescent="0.3">
      <c r="A254" s="17"/>
      <c r="B254" s="18"/>
      <c r="C254" s="95"/>
      <c r="D254" s="55"/>
      <c r="E254" s="131"/>
      <c r="F254" s="42"/>
      <c r="G254" s="20"/>
      <c r="H254" s="136"/>
      <c r="I254" s="23"/>
      <c r="J254" s="23"/>
      <c r="K254" s="23"/>
      <c r="L254" s="24"/>
      <c r="M254" s="24"/>
      <c r="N254" s="24"/>
      <c r="O254" s="24"/>
      <c r="P254" s="24"/>
      <c r="Q254" s="24"/>
      <c r="R254" s="24"/>
      <c r="S254" s="46" t="str">
        <f>IF(Project_Tracker[[#This Row],[Project Lead]]="", "", IFERROR(VLOOKUP(Project_Tracker[[#This Row],[Project Lead]], Setting!C:D, 2, 0), ""))</f>
        <v/>
      </c>
      <c r="T254" s="47"/>
      <c r="U254" s="37" t="str">
        <f>Project_Tracker[[#This Row],[Project Lead]]&amp;", "&amp;Project_Tracker[[#This Row],[Team Collaboration]]</f>
        <v xml:space="preserve">, </v>
      </c>
      <c r="V254" s="37"/>
      <c r="W254" s="37"/>
      <c r="X254" s="56"/>
      <c r="Y254" s="10"/>
      <c r="Z254" s="10"/>
    </row>
    <row r="255" spans="1:29" ht="10.199999999999999" x14ac:dyDescent="0.3">
      <c r="A255" s="17"/>
      <c r="B255" s="18"/>
      <c r="C255" s="95"/>
      <c r="D255" s="55"/>
      <c r="E255" s="131"/>
      <c r="F255" s="42"/>
      <c r="G255" s="20"/>
      <c r="H255" s="136"/>
      <c r="I255" s="23"/>
      <c r="J255" s="23"/>
      <c r="K255" s="23"/>
      <c r="L255" s="24"/>
      <c r="M255" s="24"/>
      <c r="N255" s="24"/>
      <c r="O255" s="24"/>
      <c r="P255" s="24"/>
      <c r="Q255" s="24"/>
      <c r="R255" s="24"/>
      <c r="S255" s="46" t="str">
        <f>IF(Project_Tracker[[#This Row],[Project Lead]]="", "", IFERROR(VLOOKUP(Project_Tracker[[#This Row],[Project Lead]], Setting!C:D, 2, 0), ""))</f>
        <v/>
      </c>
      <c r="T255" s="47"/>
      <c r="U255" s="37" t="str">
        <f>Project_Tracker[[#This Row],[Project Lead]]&amp;", "&amp;Project_Tracker[[#This Row],[Team Collaboration]]</f>
        <v xml:space="preserve">, </v>
      </c>
      <c r="V255" s="37"/>
      <c r="W255" s="37"/>
      <c r="X255" s="56"/>
      <c r="Y255" s="10"/>
      <c r="Z255" s="10"/>
    </row>
    <row r="256" spans="1:29" ht="10.199999999999999" x14ac:dyDescent="0.3">
      <c r="A256" s="17"/>
      <c r="B256" s="18"/>
      <c r="C256" s="95"/>
      <c r="D256" s="55"/>
      <c r="E256" s="131"/>
      <c r="F256" s="42"/>
      <c r="G256" s="20"/>
      <c r="H256" s="136"/>
      <c r="I256" s="23"/>
      <c r="J256" s="23"/>
      <c r="K256" s="23"/>
      <c r="L256" s="24"/>
      <c r="M256" s="24"/>
      <c r="N256" s="24"/>
      <c r="O256" s="24"/>
      <c r="P256" s="24"/>
      <c r="Q256" s="24"/>
      <c r="R256" s="24"/>
      <c r="S256" s="46" t="str">
        <f>IF(Project_Tracker[[#This Row],[Project Lead]]="", "", IFERROR(VLOOKUP(Project_Tracker[[#This Row],[Project Lead]], Setting!C:D, 2, 0), ""))</f>
        <v/>
      </c>
      <c r="T256" s="47"/>
      <c r="U256" s="37" t="str">
        <f>Project_Tracker[[#This Row],[Project Lead]]&amp;", "&amp;Project_Tracker[[#This Row],[Team Collaboration]]</f>
        <v xml:space="preserve">, </v>
      </c>
      <c r="V256" s="37"/>
      <c r="W256" s="37"/>
      <c r="X256" s="56"/>
      <c r="Y256" s="10"/>
      <c r="Z256" s="10"/>
    </row>
    <row r="257" spans="1:26" ht="10.199999999999999" x14ac:dyDescent="0.3">
      <c r="A257" s="17"/>
      <c r="B257" s="18"/>
      <c r="C257" s="95"/>
      <c r="D257" s="55"/>
      <c r="E257" s="131"/>
      <c r="F257" s="42"/>
      <c r="G257" s="20"/>
      <c r="H257" s="136"/>
      <c r="I257" s="23"/>
      <c r="J257" s="23"/>
      <c r="K257" s="23"/>
      <c r="L257" s="24"/>
      <c r="M257" s="24"/>
      <c r="N257" s="24"/>
      <c r="O257" s="24"/>
      <c r="P257" s="24"/>
      <c r="Q257" s="24"/>
      <c r="R257" s="24"/>
      <c r="S257" s="46" t="str">
        <f>IF(Project_Tracker[[#This Row],[Project Lead]]="", "", IFERROR(VLOOKUP(Project_Tracker[[#This Row],[Project Lead]], Setting!C:D, 2, 0), ""))</f>
        <v/>
      </c>
      <c r="T257" s="47"/>
      <c r="U257" s="37" t="str">
        <f>Project_Tracker[[#This Row],[Project Lead]]&amp;", "&amp;Project_Tracker[[#This Row],[Team Collaboration]]</f>
        <v xml:space="preserve">, </v>
      </c>
      <c r="V257" s="37"/>
      <c r="W257" s="37"/>
      <c r="X257" s="56"/>
      <c r="Y257" s="10"/>
      <c r="Z257" s="10"/>
    </row>
    <row r="258" spans="1:26" ht="10.199999999999999" x14ac:dyDescent="0.3">
      <c r="A258" s="17"/>
      <c r="B258" s="18"/>
      <c r="C258" s="95"/>
      <c r="D258" s="55"/>
      <c r="E258" s="131"/>
      <c r="F258" s="42"/>
      <c r="G258" s="20"/>
      <c r="H258" s="136"/>
      <c r="I258" s="23"/>
      <c r="J258" s="23"/>
      <c r="K258" s="23"/>
      <c r="L258" s="24"/>
      <c r="M258" s="24"/>
      <c r="N258" s="24"/>
      <c r="O258" s="24"/>
      <c r="P258" s="24"/>
      <c r="Q258" s="24"/>
      <c r="R258" s="24"/>
      <c r="S258" s="46" t="str">
        <f>IF(Project_Tracker[[#This Row],[Project Lead]]="", "", IFERROR(VLOOKUP(Project_Tracker[[#This Row],[Project Lead]], Setting!C:D, 2, 0), ""))</f>
        <v/>
      </c>
      <c r="T258" s="47"/>
      <c r="U258" s="37" t="str">
        <f>Project_Tracker[[#This Row],[Project Lead]]&amp;", "&amp;Project_Tracker[[#This Row],[Team Collaboration]]</f>
        <v xml:space="preserve">, </v>
      </c>
      <c r="V258" s="37"/>
      <c r="W258" s="37"/>
      <c r="X258" s="56"/>
      <c r="Y258" s="10"/>
      <c r="Z258" s="10"/>
    </row>
    <row r="259" spans="1:26" ht="10.199999999999999" x14ac:dyDescent="0.3">
      <c r="A259" s="17"/>
      <c r="B259" s="18"/>
      <c r="C259" s="95"/>
      <c r="D259" s="55"/>
      <c r="E259" s="131"/>
      <c r="F259" s="42"/>
      <c r="G259" s="20"/>
      <c r="H259" s="136"/>
      <c r="I259" s="23"/>
      <c r="J259" s="23"/>
      <c r="K259" s="23"/>
      <c r="L259" s="24"/>
      <c r="M259" s="24"/>
      <c r="N259" s="24"/>
      <c r="O259" s="24"/>
      <c r="P259" s="24"/>
      <c r="Q259" s="24"/>
      <c r="R259" s="24"/>
      <c r="S259" s="46" t="str">
        <f>IF(Project_Tracker[[#This Row],[Project Lead]]="", "", IFERROR(VLOOKUP(Project_Tracker[[#This Row],[Project Lead]], Setting!C:D, 2, 0), ""))</f>
        <v/>
      </c>
      <c r="T259" s="47"/>
      <c r="U259" s="37" t="str">
        <f>Project_Tracker[[#This Row],[Project Lead]]&amp;", "&amp;Project_Tracker[[#This Row],[Team Collaboration]]</f>
        <v xml:space="preserve">, </v>
      </c>
      <c r="V259" s="37"/>
      <c r="W259" s="37"/>
      <c r="X259" s="56"/>
      <c r="Y259" s="10"/>
      <c r="Z259" s="10"/>
    </row>
    <row r="260" spans="1:26" ht="10.199999999999999" x14ac:dyDescent="0.3">
      <c r="A260" s="17"/>
      <c r="B260" s="18"/>
      <c r="C260" s="95"/>
      <c r="D260" s="55"/>
      <c r="E260" s="131"/>
      <c r="F260" s="42"/>
      <c r="G260" s="20"/>
      <c r="H260" s="136"/>
      <c r="I260" s="23"/>
      <c r="J260" s="23"/>
      <c r="K260" s="23"/>
      <c r="L260" s="24"/>
      <c r="M260" s="24"/>
      <c r="N260" s="24"/>
      <c r="O260" s="24"/>
      <c r="P260" s="24"/>
      <c r="Q260" s="24"/>
      <c r="R260" s="24"/>
      <c r="S260" s="46" t="str">
        <f>IF(Project_Tracker[[#This Row],[Project Lead]]="", "", IFERROR(VLOOKUP(Project_Tracker[[#This Row],[Project Lead]], Setting!C:D, 2, 0), ""))</f>
        <v/>
      </c>
      <c r="T260" s="47"/>
      <c r="U260" s="37" t="str">
        <f>Project_Tracker[[#This Row],[Project Lead]]&amp;", "&amp;Project_Tracker[[#This Row],[Team Collaboration]]</f>
        <v xml:space="preserve">, </v>
      </c>
      <c r="V260" s="37"/>
      <c r="W260" s="37"/>
      <c r="X260" s="56"/>
      <c r="Y260" s="10"/>
      <c r="Z260" s="10"/>
    </row>
    <row r="261" spans="1:26" ht="10.199999999999999" x14ac:dyDescent="0.3">
      <c r="A261" s="17"/>
      <c r="B261" s="18"/>
      <c r="C261" s="95"/>
      <c r="D261" s="55"/>
      <c r="E261" s="131"/>
      <c r="F261" s="42"/>
      <c r="G261" s="20"/>
      <c r="H261" s="136"/>
      <c r="I261" s="23"/>
      <c r="J261" s="23"/>
      <c r="K261" s="23"/>
      <c r="L261" s="24"/>
      <c r="M261" s="24"/>
      <c r="N261" s="24"/>
      <c r="O261" s="24"/>
      <c r="P261" s="24"/>
      <c r="Q261" s="24"/>
      <c r="R261" s="24"/>
      <c r="S261" s="46" t="str">
        <f>IF(Project_Tracker[[#This Row],[Project Lead]]="", "", IFERROR(VLOOKUP(Project_Tracker[[#This Row],[Project Lead]], Setting!C:D, 2, 0), ""))</f>
        <v/>
      </c>
      <c r="T261" s="47"/>
      <c r="U261" s="37" t="str">
        <f>Project_Tracker[[#This Row],[Project Lead]]&amp;", "&amp;Project_Tracker[[#This Row],[Team Collaboration]]</f>
        <v xml:space="preserve">, </v>
      </c>
      <c r="V261" s="37"/>
      <c r="W261" s="37"/>
      <c r="X261" s="56"/>
      <c r="Y261" s="10"/>
      <c r="Z261" s="10"/>
    </row>
    <row r="262" spans="1:26" ht="10.199999999999999" x14ac:dyDescent="0.3">
      <c r="A262" s="17"/>
      <c r="B262" s="18"/>
      <c r="C262" s="95"/>
      <c r="D262" s="55"/>
      <c r="E262" s="131"/>
      <c r="F262" s="42"/>
      <c r="G262" s="20"/>
      <c r="H262" s="136"/>
      <c r="I262" s="23"/>
      <c r="J262" s="23"/>
      <c r="K262" s="23"/>
      <c r="L262" s="24"/>
      <c r="M262" s="24"/>
      <c r="N262" s="24"/>
      <c r="O262" s="24"/>
      <c r="P262" s="24"/>
      <c r="Q262" s="24"/>
      <c r="R262" s="24"/>
      <c r="S262" s="46" t="str">
        <f>IF(Project_Tracker[[#This Row],[Project Lead]]="", "", IFERROR(VLOOKUP(Project_Tracker[[#This Row],[Project Lead]], Setting!C:D, 2, 0), ""))</f>
        <v/>
      </c>
      <c r="T262" s="47"/>
      <c r="U262" s="37" t="str">
        <f>Project_Tracker[[#This Row],[Project Lead]]&amp;", "&amp;Project_Tracker[[#This Row],[Team Collaboration]]</f>
        <v xml:space="preserve">, </v>
      </c>
      <c r="V262" s="37"/>
      <c r="W262" s="37"/>
      <c r="X262" s="56"/>
      <c r="Y262" s="10"/>
      <c r="Z262" s="10"/>
    </row>
    <row r="263" spans="1:26" ht="10.199999999999999" x14ac:dyDescent="0.3">
      <c r="A263" s="17"/>
      <c r="B263" s="18"/>
      <c r="C263" s="95"/>
      <c r="D263" s="55"/>
      <c r="E263" s="131"/>
      <c r="F263" s="42"/>
      <c r="G263" s="20"/>
      <c r="H263" s="136"/>
      <c r="I263" s="23"/>
      <c r="J263" s="23"/>
      <c r="K263" s="23"/>
      <c r="L263" s="24"/>
      <c r="M263" s="24"/>
      <c r="N263" s="24"/>
      <c r="O263" s="24"/>
      <c r="P263" s="24"/>
      <c r="Q263" s="24"/>
      <c r="R263" s="24"/>
      <c r="S263" s="46" t="str">
        <f>IF(Project_Tracker[[#This Row],[Project Lead]]="", "", IFERROR(VLOOKUP(Project_Tracker[[#This Row],[Project Lead]], Setting!C:D, 2, 0), ""))</f>
        <v/>
      </c>
      <c r="T263" s="47"/>
      <c r="U263" s="37" t="str">
        <f>Project_Tracker[[#This Row],[Project Lead]]&amp;", "&amp;Project_Tracker[[#This Row],[Team Collaboration]]</f>
        <v xml:space="preserve">, </v>
      </c>
      <c r="V263" s="37"/>
      <c r="W263" s="37"/>
      <c r="X263" s="56"/>
      <c r="Y263" s="10"/>
      <c r="Z263" s="10"/>
    </row>
    <row r="264" spans="1:26" ht="10.199999999999999" x14ac:dyDescent="0.3">
      <c r="A264" s="17"/>
      <c r="B264" s="18"/>
      <c r="C264" s="95"/>
      <c r="D264" s="55"/>
      <c r="E264" s="131"/>
      <c r="F264" s="42"/>
      <c r="G264" s="20"/>
      <c r="H264" s="136"/>
      <c r="I264" s="23"/>
      <c r="J264" s="23"/>
      <c r="K264" s="23"/>
      <c r="L264" s="24"/>
      <c r="M264" s="24"/>
      <c r="N264" s="24"/>
      <c r="O264" s="24"/>
      <c r="P264" s="24"/>
      <c r="Q264" s="24"/>
      <c r="R264" s="24"/>
      <c r="S264" s="46" t="str">
        <f>IF(Project_Tracker[[#This Row],[Project Lead]]="", "", IFERROR(VLOOKUP(Project_Tracker[[#This Row],[Project Lead]], Setting!C:D, 2, 0), ""))</f>
        <v/>
      </c>
      <c r="T264" s="47"/>
      <c r="U264" s="37" t="str">
        <f>Project_Tracker[[#This Row],[Project Lead]]&amp;", "&amp;Project_Tracker[[#This Row],[Team Collaboration]]</f>
        <v xml:space="preserve">, </v>
      </c>
      <c r="V264" s="37"/>
      <c r="W264" s="37"/>
      <c r="X264" s="56"/>
      <c r="Y264" s="10"/>
      <c r="Z264" s="10"/>
    </row>
    <row r="265" spans="1:26" ht="10.199999999999999" x14ac:dyDescent="0.3">
      <c r="A265" s="17"/>
      <c r="B265" s="18"/>
      <c r="C265" s="95"/>
      <c r="D265" s="55"/>
      <c r="E265" s="131"/>
      <c r="F265" s="42"/>
      <c r="G265" s="20"/>
      <c r="H265" s="136"/>
      <c r="I265" s="23"/>
      <c r="J265" s="23"/>
      <c r="K265" s="23"/>
      <c r="L265" s="24"/>
      <c r="M265" s="24"/>
      <c r="N265" s="24"/>
      <c r="O265" s="24"/>
      <c r="P265" s="24"/>
      <c r="Q265" s="24"/>
      <c r="R265" s="24"/>
      <c r="S265" s="46" t="str">
        <f>IF(Project_Tracker[[#This Row],[Project Lead]]="", "", IFERROR(VLOOKUP(Project_Tracker[[#This Row],[Project Lead]], Setting!C:D, 2, 0), ""))</f>
        <v/>
      </c>
      <c r="T265" s="47"/>
      <c r="U265" s="37" t="str">
        <f>Project_Tracker[[#This Row],[Project Lead]]&amp;", "&amp;Project_Tracker[[#This Row],[Team Collaboration]]</f>
        <v xml:space="preserve">, </v>
      </c>
      <c r="V265" s="37"/>
      <c r="W265" s="37"/>
      <c r="X265" s="56"/>
      <c r="Y265" s="10"/>
      <c r="Z265" s="10"/>
    </row>
    <row r="266" spans="1:26" ht="10.199999999999999" x14ac:dyDescent="0.3">
      <c r="A266" s="17"/>
      <c r="B266" s="18"/>
      <c r="C266" s="95"/>
      <c r="D266" s="55"/>
      <c r="E266" s="131"/>
      <c r="F266" s="42"/>
      <c r="G266" s="20"/>
      <c r="H266" s="136"/>
      <c r="I266" s="23"/>
      <c r="J266" s="23"/>
      <c r="K266" s="23"/>
      <c r="L266" s="24"/>
      <c r="M266" s="24"/>
      <c r="N266" s="24"/>
      <c r="O266" s="24"/>
      <c r="P266" s="24"/>
      <c r="Q266" s="24"/>
      <c r="R266" s="24"/>
      <c r="S266" s="46" t="str">
        <f>IF(Project_Tracker[[#This Row],[Project Lead]]="", "", IFERROR(VLOOKUP(Project_Tracker[[#This Row],[Project Lead]], Setting!C:D, 2, 0), ""))</f>
        <v/>
      </c>
      <c r="T266" s="47"/>
      <c r="U266" s="37" t="str">
        <f>Project_Tracker[[#This Row],[Project Lead]]&amp;", "&amp;Project_Tracker[[#This Row],[Team Collaboration]]</f>
        <v xml:space="preserve">, </v>
      </c>
      <c r="V266" s="37"/>
      <c r="W266" s="37"/>
      <c r="X266" s="56"/>
      <c r="Y266" s="10"/>
      <c r="Z266" s="10"/>
    </row>
    <row r="267" spans="1:26" ht="10.199999999999999" x14ac:dyDescent="0.3">
      <c r="A267" s="17"/>
      <c r="B267" s="18"/>
      <c r="C267" s="95"/>
      <c r="D267" s="55"/>
      <c r="E267" s="131"/>
      <c r="F267" s="42"/>
      <c r="G267" s="20"/>
      <c r="H267" s="136"/>
      <c r="I267" s="23"/>
      <c r="J267" s="23"/>
      <c r="K267" s="23"/>
      <c r="L267" s="24"/>
      <c r="M267" s="24"/>
      <c r="N267" s="24"/>
      <c r="O267" s="24"/>
      <c r="P267" s="24"/>
      <c r="Q267" s="24"/>
      <c r="R267" s="24"/>
      <c r="S267" s="46" t="str">
        <f>IF(Project_Tracker[[#This Row],[Project Lead]]="", "", IFERROR(VLOOKUP(Project_Tracker[[#This Row],[Project Lead]], Setting!C:D, 2, 0), ""))</f>
        <v/>
      </c>
      <c r="T267" s="47"/>
      <c r="U267" s="37" t="str">
        <f>Project_Tracker[[#This Row],[Project Lead]]&amp;", "&amp;Project_Tracker[[#This Row],[Team Collaboration]]</f>
        <v xml:space="preserve">, </v>
      </c>
      <c r="V267" s="37"/>
      <c r="W267" s="37"/>
      <c r="X267" s="56"/>
      <c r="Y267" s="10"/>
      <c r="Z267" s="10"/>
    </row>
    <row r="268" spans="1:26" ht="10.199999999999999" x14ac:dyDescent="0.3">
      <c r="A268" s="17"/>
      <c r="B268" s="18"/>
      <c r="C268" s="95"/>
      <c r="D268" s="55"/>
      <c r="E268" s="131"/>
      <c r="F268" s="42"/>
      <c r="G268" s="20"/>
      <c r="H268" s="136"/>
      <c r="I268" s="23"/>
      <c r="J268" s="23"/>
      <c r="K268" s="23"/>
      <c r="L268" s="24"/>
      <c r="M268" s="24"/>
      <c r="N268" s="24"/>
      <c r="O268" s="24"/>
      <c r="P268" s="24"/>
      <c r="Q268" s="24"/>
      <c r="R268" s="24"/>
      <c r="S268" s="46" t="str">
        <f>IF(Project_Tracker[[#This Row],[Project Lead]]="", "", IFERROR(VLOOKUP(Project_Tracker[[#This Row],[Project Lead]], Setting!C:D, 2, 0), ""))</f>
        <v/>
      </c>
      <c r="T268" s="47"/>
      <c r="U268" s="37" t="str">
        <f>Project_Tracker[[#This Row],[Project Lead]]&amp;", "&amp;Project_Tracker[[#This Row],[Team Collaboration]]</f>
        <v xml:space="preserve">, </v>
      </c>
      <c r="V268" s="37"/>
      <c r="W268" s="37"/>
      <c r="X268" s="56"/>
      <c r="Y268" s="10"/>
      <c r="Z268" s="10"/>
    </row>
    <row r="269" spans="1:26" ht="10.199999999999999" x14ac:dyDescent="0.3">
      <c r="A269" s="17"/>
      <c r="B269" s="18"/>
      <c r="C269" s="95"/>
      <c r="D269" s="55"/>
      <c r="E269" s="131"/>
      <c r="F269" s="42"/>
      <c r="G269" s="20"/>
      <c r="H269" s="136"/>
      <c r="I269" s="23"/>
      <c r="J269" s="23"/>
      <c r="K269" s="23"/>
      <c r="L269" s="24"/>
      <c r="M269" s="24"/>
      <c r="N269" s="24"/>
      <c r="O269" s="24"/>
      <c r="P269" s="24"/>
      <c r="Q269" s="24"/>
      <c r="R269" s="24"/>
      <c r="S269" s="46" t="str">
        <f>IF(Project_Tracker[[#This Row],[Project Lead]]="", "", IFERROR(VLOOKUP(Project_Tracker[[#This Row],[Project Lead]], Setting!C:D, 2, 0), ""))</f>
        <v/>
      </c>
      <c r="T269" s="47"/>
      <c r="U269" s="37" t="str">
        <f>Project_Tracker[[#This Row],[Project Lead]]&amp;", "&amp;Project_Tracker[[#This Row],[Team Collaboration]]</f>
        <v xml:space="preserve">, </v>
      </c>
      <c r="V269" s="37"/>
      <c r="W269" s="37"/>
      <c r="X269" s="56"/>
      <c r="Y269" s="10"/>
      <c r="Z269" s="10"/>
    </row>
    <row r="270" spans="1:26" ht="10.199999999999999" x14ac:dyDescent="0.3">
      <c r="A270" s="17"/>
      <c r="B270" s="18"/>
      <c r="C270" s="95"/>
      <c r="D270" s="55"/>
      <c r="E270" s="131"/>
      <c r="F270" s="42"/>
      <c r="G270" s="20"/>
      <c r="H270" s="136"/>
      <c r="I270" s="23"/>
      <c r="J270" s="23"/>
      <c r="K270" s="23"/>
      <c r="L270" s="24"/>
      <c r="M270" s="24"/>
      <c r="N270" s="24"/>
      <c r="O270" s="24"/>
      <c r="P270" s="24"/>
      <c r="Q270" s="24"/>
      <c r="R270" s="24"/>
      <c r="S270" s="46" t="str">
        <f>IF(Project_Tracker[[#This Row],[Project Lead]]="", "", IFERROR(VLOOKUP(Project_Tracker[[#This Row],[Project Lead]], Setting!C:D, 2, 0), ""))</f>
        <v/>
      </c>
      <c r="T270" s="47"/>
      <c r="U270" s="37" t="str">
        <f>Project_Tracker[[#This Row],[Project Lead]]&amp;", "&amp;Project_Tracker[[#This Row],[Team Collaboration]]</f>
        <v xml:space="preserve">, </v>
      </c>
      <c r="V270" s="37"/>
      <c r="W270" s="37"/>
      <c r="X270" s="56"/>
      <c r="Y270" s="10"/>
      <c r="Z270" s="10"/>
    </row>
    <row r="271" spans="1:26" ht="10.199999999999999" x14ac:dyDescent="0.3">
      <c r="A271" s="17"/>
      <c r="B271" s="18"/>
      <c r="C271" s="95"/>
      <c r="D271" s="55"/>
      <c r="E271" s="131"/>
      <c r="F271" s="42"/>
      <c r="G271" s="20"/>
      <c r="H271" s="136"/>
      <c r="I271" s="23"/>
      <c r="J271" s="23"/>
      <c r="K271" s="23"/>
      <c r="L271" s="24"/>
      <c r="M271" s="24"/>
      <c r="N271" s="24"/>
      <c r="O271" s="24"/>
      <c r="P271" s="24"/>
      <c r="Q271" s="24"/>
      <c r="R271" s="24"/>
      <c r="S271" s="46" t="str">
        <f>IF(Project_Tracker[[#This Row],[Project Lead]]="", "", IFERROR(VLOOKUP(Project_Tracker[[#This Row],[Project Lead]], Setting!C:D, 2, 0), ""))</f>
        <v/>
      </c>
      <c r="T271" s="47"/>
      <c r="U271" s="37" t="str">
        <f>Project_Tracker[[#This Row],[Project Lead]]&amp;", "&amp;Project_Tracker[[#This Row],[Team Collaboration]]</f>
        <v xml:space="preserve">, </v>
      </c>
      <c r="V271" s="37"/>
      <c r="W271" s="37"/>
      <c r="X271" s="56"/>
      <c r="Y271" s="10"/>
      <c r="Z271" s="10"/>
    </row>
    <row r="272" spans="1:26" ht="10.199999999999999" x14ac:dyDescent="0.3">
      <c r="A272" s="17"/>
      <c r="B272" s="18"/>
      <c r="C272" s="95"/>
      <c r="D272" s="55"/>
      <c r="E272" s="131"/>
      <c r="F272" s="42"/>
      <c r="G272" s="20"/>
      <c r="H272" s="136"/>
      <c r="I272" s="23"/>
      <c r="J272" s="23"/>
      <c r="K272" s="23"/>
      <c r="L272" s="24"/>
      <c r="M272" s="24"/>
      <c r="N272" s="24"/>
      <c r="O272" s="24"/>
      <c r="P272" s="24"/>
      <c r="Q272" s="24"/>
      <c r="R272" s="24"/>
      <c r="S272" s="46" t="str">
        <f>IF(Project_Tracker[[#This Row],[Project Lead]]="", "", IFERROR(VLOOKUP(Project_Tracker[[#This Row],[Project Lead]], Setting!C:D, 2, 0), ""))</f>
        <v/>
      </c>
      <c r="T272" s="47"/>
      <c r="U272" s="37" t="str">
        <f>Project_Tracker[[#This Row],[Project Lead]]&amp;", "&amp;Project_Tracker[[#This Row],[Team Collaboration]]</f>
        <v xml:space="preserve">, </v>
      </c>
      <c r="V272" s="37"/>
      <c r="W272" s="37"/>
      <c r="X272" s="56"/>
      <c r="Y272" s="10"/>
      <c r="Z272" s="10"/>
    </row>
    <row r="273" spans="1:26" ht="10.199999999999999" x14ac:dyDescent="0.3">
      <c r="A273" s="17"/>
      <c r="B273" s="18"/>
      <c r="C273" s="95"/>
      <c r="D273" s="55"/>
      <c r="E273" s="131"/>
      <c r="F273" s="42"/>
      <c r="G273" s="20"/>
      <c r="H273" s="136"/>
      <c r="I273" s="23"/>
      <c r="J273" s="23"/>
      <c r="K273" s="23"/>
      <c r="L273" s="24"/>
      <c r="M273" s="24"/>
      <c r="N273" s="24"/>
      <c r="O273" s="24"/>
      <c r="P273" s="24"/>
      <c r="Q273" s="24"/>
      <c r="R273" s="24"/>
      <c r="S273" s="46" t="str">
        <f>IF(Project_Tracker[[#This Row],[Project Lead]]="", "", IFERROR(VLOOKUP(Project_Tracker[[#This Row],[Project Lead]], Setting!C:D, 2, 0), ""))</f>
        <v/>
      </c>
      <c r="T273" s="47"/>
      <c r="U273" s="37" t="str">
        <f>Project_Tracker[[#This Row],[Project Lead]]&amp;", "&amp;Project_Tracker[[#This Row],[Team Collaboration]]</f>
        <v xml:space="preserve">, </v>
      </c>
      <c r="V273" s="37"/>
      <c r="W273" s="37"/>
      <c r="X273" s="56"/>
      <c r="Y273" s="10"/>
      <c r="Z273" s="10"/>
    </row>
    <row r="274" spans="1:26" ht="10.199999999999999" x14ac:dyDescent="0.3">
      <c r="A274" s="17"/>
      <c r="B274" s="18"/>
      <c r="C274" s="95"/>
      <c r="D274" s="55"/>
      <c r="E274" s="131"/>
      <c r="F274" s="42"/>
      <c r="G274" s="20"/>
      <c r="H274" s="136"/>
      <c r="I274" s="23"/>
      <c r="J274" s="23"/>
      <c r="K274" s="23"/>
      <c r="L274" s="24"/>
      <c r="M274" s="24"/>
      <c r="N274" s="24"/>
      <c r="O274" s="24"/>
      <c r="P274" s="24"/>
      <c r="Q274" s="24"/>
      <c r="R274" s="24"/>
      <c r="S274" s="46" t="str">
        <f>IF(Project_Tracker[[#This Row],[Project Lead]]="", "", IFERROR(VLOOKUP(Project_Tracker[[#This Row],[Project Lead]], Setting!C:D, 2, 0), ""))</f>
        <v/>
      </c>
      <c r="T274" s="47"/>
      <c r="U274" s="37" t="str">
        <f>Project_Tracker[[#This Row],[Project Lead]]&amp;", "&amp;Project_Tracker[[#This Row],[Team Collaboration]]</f>
        <v xml:space="preserve">, </v>
      </c>
      <c r="V274" s="37"/>
      <c r="W274" s="37"/>
      <c r="X274" s="56"/>
      <c r="Y274" s="10"/>
      <c r="Z274" s="10"/>
    </row>
    <row r="275" spans="1:26" ht="10.199999999999999" x14ac:dyDescent="0.3">
      <c r="A275" s="17"/>
      <c r="B275" s="18"/>
      <c r="C275" s="95"/>
      <c r="D275" s="55"/>
      <c r="E275" s="131"/>
      <c r="F275" s="42"/>
      <c r="G275" s="20"/>
      <c r="H275" s="136"/>
      <c r="I275" s="23"/>
      <c r="J275" s="23"/>
      <c r="K275" s="23"/>
      <c r="L275" s="24"/>
      <c r="M275" s="24"/>
      <c r="N275" s="24"/>
      <c r="O275" s="24"/>
      <c r="P275" s="24"/>
      <c r="Q275" s="24"/>
      <c r="R275" s="24"/>
      <c r="S275" s="46" t="str">
        <f>IF(Project_Tracker[[#This Row],[Project Lead]]="", "", IFERROR(VLOOKUP(Project_Tracker[[#This Row],[Project Lead]], Setting!C:D, 2, 0), ""))</f>
        <v/>
      </c>
      <c r="T275" s="47"/>
      <c r="U275" s="37" t="str">
        <f>Project_Tracker[[#This Row],[Project Lead]]&amp;", "&amp;Project_Tracker[[#This Row],[Team Collaboration]]</f>
        <v xml:space="preserve">, </v>
      </c>
      <c r="V275" s="37"/>
      <c r="W275" s="37"/>
      <c r="X275" s="56"/>
      <c r="Y275" s="10"/>
      <c r="Z275" s="10"/>
    </row>
    <row r="276" spans="1:26" ht="10.199999999999999" x14ac:dyDescent="0.3">
      <c r="A276" s="17"/>
      <c r="B276" s="18"/>
      <c r="C276" s="95"/>
      <c r="D276" s="55"/>
      <c r="E276" s="131"/>
      <c r="F276" s="42"/>
      <c r="G276" s="20"/>
      <c r="H276" s="136"/>
      <c r="I276" s="23"/>
      <c r="J276" s="23"/>
      <c r="K276" s="23"/>
      <c r="L276" s="24"/>
      <c r="M276" s="24"/>
      <c r="N276" s="24"/>
      <c r="O276" s="24"/>
      <c r="P276" s="24"/>
      <c r="Q276" s="24"/>
      <c r="R276" s="24"/>
      <c r="S276" s="46" t="str">
        <f>IF(Project_Tracker[[#This Row],[Project Lead]]="", "", IFERROR(VLOOKUP(Project_Tracker[[#This Row],[Project Lead]], Setting!C:D, 2, 0), ""))</f>
        <v/>
      </c>
      <c r="T276" s="47"/>
      <c r="U276" s="37" t="str">
        <f>Project_Tracker[[#This Row],[Project Lead]]&amp;", "&amp;Project_Tracker[[#This Row],[Team Collaboration]]</f>
        <v xml:space="preserve">, </v>
      </c>
      <c r="V276" s="37"/>
      <c r="W276" s="37"/>
      <c r="X276" s="56"/>
      <c r="Y276" s="10"/>
      <c r="Z276" s="10"/>
    </row>
    <row r="277" spans="1:26" ht="10.199999999999999" x14ac:dyDescent="0.3">
      <c r="A277" s="17"/>
      <c r="B277" s="18"/>
      <c r="C277" s="95"/>
      <c r="D277" s="55"/>
      <c r="E277" s="131"/>
      <c r="F277" s="42"/>
      <c r="G277" s="20"/>
      <c r="H277" s="136"/>
      <c r="I277" s="23"/>
      <c r="J277" s="23"/>
      <c r="K277" s="23"/>
      <c r="L277" s="24"/>
      <c r="M277" s="24"/>
      <c r="N277" s="24"/>
      <c r="O277" s="24"/>
      <c r="P277" s="24"/>
      <c r="Q277" s="24"/>
      <c r="R277" s="24"/>
      <c r="S277" s="46" t="str">
        <f>IF(Project_Tracker[[#This Row],[Project Lead]]="", "", IFERROR(VLOOKUP(Project_Tracker[[#This Row],[Project Lead]], Setting!C:D, 2, 0), ""))</f>
        <v/>
      </c>
      <c r="T277" s="47"/>
      <c r="U277" s="37" t="str">
        <f>Project_Tracker[[#This Row],[Project Lead]]&amp;", "&amp;Project_Tracker[[#This Row],[Team Collaboration]]</f>
        <v xml:space="preserve">, </v>
      </c>
      <c r="V277" s="37"/>
      <c r="W277" s="37"/>
      <c r="X277" s="56"/>
      <c r="Y277" s="10"/>
      <c r="Z277" s="10"/>
    </row>
    <row r="278" spans="1:26" ht="10.199999999999999" x14ac:dyDescent="0.3">
      <c r="A278" s="17"/>
      <c r="B278" s="18"/>
      <c r="C278" s="95"/>
      <c r="D278" s="55"/>
      <c r="E278" s="131"/>
      <c r="F278" s="42"/>
      <c r="G278" s="20"/>
      <c r="H278" s="136"/>
      <c r="I278" s="23"/>
      <c r="J278" s="23"/>
      <c r="K278" s="23"/>
      <c r="L278" s="24"/>
      <c r="M278" s="24"/>
      <c r="N278" s="24"/>
      <c r="O278" s="24"/>
      <c r="P278" s="24"/>
      <c r="Q278" s="24"/>
      <c r="R278" s="24"/>
      <c r="S278" s="46" t="str">
        <f>IF(Project_Tracker[[#This Row],[Project Lead]]="", "", IFERROR(VLOOKUP(Project_Tracker[[#This Row],[Project Lead]], Setting!C:D, 2, 0), ""))</f>
        <v/>
      </c>
      <c r="T278" s="47"/>
      <c r="U278" s="37" t="str">
        <f>Project_Tracker[[#This Row],[Project Lead]]&amp;", "&amp;Project_Tracker[[#This Row],[Team Collaboration]]</f>
        <v xml:space="preserve">, </v>
      </c>
      <c r="V278" s="37"/>
      <c r="W278" s="37"/>
      <c r="X278" s="56"/>
      <c r="Y278" s="10"/>
      <c r="Z278" s="10"/>
    </row>
    <row r="279" spans="1:26" ht="10.199999999999999" x14ac:dyDescent="0.3">
      <c r="A279" s="17"/>
      <c r="B279" s="18"/>
      <c r="C279" s="95"/>
      <c r="D279" s="55"/>
      <c r="E279" s="131"/>
      <c r="F279" s="42"/>
      <c r="G279" s="20"/>
      <c r="H279" s="136"/>
      <c r="I279" s="23"/>
      <c r="J279" s="23"/>
      <c r="K279" s="23"/>
      <c r="L279" s="24"/>
      <c r="M279" s="24"/>
      <c r="N279" s="24"/>
      <c r="O279" s="24"/>
      <c r="P279" s="24"/>
      <c r="Q279" s="24"/>
      <c r="R279" s="24"/>
      <c r="S279" s="46" t="str">
        <f>IF(Project_Tracker[[#This Row],[Project Lead]]="", "", IFERROR(VLOOKUP(Project_Tracker[[#This Row],[Project Lead]], Setting!C:D, 2, 0), ""))</f>
        <v/>
      </c>
      <c r="T279" s="47"/>
      <c r="U279" s="37" t="str">
        <f>Project_Tracker[[#This Row],[Project Lead]]&amp;", "&amp;Project_Tracker[[#This Row],[Team Collaboration]]</f>
        <v xml:space="preserve">, </v>
      </c>
      <c r="V279" s="37"/>
      <c r="W279" s="37"/>
      <c r="X279" s="56"/>
      <c r="Y279" s="10"/>
      <c r="Z279" s="10"/>
    </row>
    <row r="280" spans="1:26" ht="10.199999999999999" x14ac:dyDescent="0.3">
      <c r="A280" s="17"/>
      <c r="B280" s="18"/>
      <c r="C280" s="95"/>
      <c r="D280" s="55"/>
      <c r="E280" s="131"/>
      <c r="F280" s="42"/>
      <c r="G280" s="20"/>
      <c r="H280" s="136"/>
      <c r="I280" s="23"/>
      <c r="J280" s="23"/>
      <c r="K280" s="23"/>
      <c r="L280" s="24"/>
      <c r="M280" s="24"/>
      <c r="N280" s="24"/>
      <c r="O280" s="24"/>
      <c r="P280" s="24"/>
      <c r="Q280" s="24"/>
      <c r="R280" s="24"/>
      <c r="S280" s="46" t="str">
        <f>IF(Project_Tracker[[#This Row],[Project Lead]]="", "", IFERROR(VLOOKUP(Project_Tracker[[#This Row],[Project Lead]], Setting!C:D, 2, 0), ""))</f>
        <v/>
      </c>
      <c r="T280" s="47"/>
      <c r="U280" s="37" t="str">
        <f>Project_Tracker[[#This Row],[Project Lead]]&amp;", "&amp;Project_Tracker[[#This Row],[Team Collaboration]]</f>
        <v xml:space="preserve">, </v>
      </c>
      <c r="V280" s="37"/>
      <c r="W280" s="37"/>
      <c r="X280" s="56"/>
      <c r="Y280" s="10"/>
      <c r="Z280" s="10"/>
    </row>
    <row r="281" spans="1:26" ht="10.199999999999999" x14ac:dyDescent="0.3">
      <c r="A281" s="17"/>
      <c r="B281" s="18"/>
      <c r="C281" s="95"/>
      <c r="D281" s="55"/>
      <c r="E281" s="131"/>
      <c r="F281" s="42"/>
      <c r="G281" s="20"/>
      <c r="H281" s="136"/>
      <c r="I281" s="23"/>
      <c r="J281" s="23"/>
      <c r="K281" s="23"/>
      <c r="L281" s="24"/>
      <c r="M281" s="24"/>
      <c r="N281" s="24"/>
      <c r="O281" s="24"/>
      <c r="P281" s="24"/>
      <c r="Q281" s="24"/>
      <c r="R281" s="24"/>
      <c r="S281" s="46" t="str">
        <f>IF(Project_Tracker[[#This Row],[Project Lead]]="", "", IFERROR(VLOOKUP(Project_Tracker[[#This Row],[Project Lead]], Setting!C:D, 2, 0), ""))</f>
        <v/>
      </c>
      <c r="T281" s="47"/>
      <c r="U281" s="37" t="str">
        <f>Project_Tracker[[#This Row],[Project Lead]]&amp;", "&amp;Project_Tracker[[#This Row],[Team Collaboration]]</f>
        <v xml:space="preserve">, </v>
      </c>
      <c r="V281" s="37"/>
      <c r="W281" s="37"/>
      <c r="X281" s="56"/>
      <c r="Y281" s="10"/>
      <c r="Z281" s="10"/>
    </row>
    <row r="282" spans="1:26" ht="10.199999999999999" x14ac:dyDescent="0.3">
      <c r="A282" s="17"/>
      <c r="B282" s="18"/>
      <c r="C282" s="95"/>
      <c r="D282" s="55"/>
      <c r="E282" s="131"/>
      <c r="F282" s="42"/>
      <c r="G282" s="20"/>
      <c r="H282" s="136"/>
      <c r="I282" s="23"/>
      <c r="J282" s="23"/>
      <c r="K282" s="23"/>
      <c r="L282" s="24"/>
      <c r="M282" s="24"/>
      <c r="N282" s="24"/>
      <c r="O282" s="24"/>
      <c r="P282" s="24"/>
      <c r="Q282" s="24"/>
      <c r="R282" s="24"/>
      <c r="S282" s="46" t="str">
        <f>IF(Project_Tracker[[#This Row],[Project Lead]]="", "", IFERROR(VLOOKUP(Project_Tracker[[#This Row],[Project Lead]], Setting!C:D, 2, 0), ""))</f>
        <v/>
      </c>
      <c r="T282" s="47"/>
      <c r="U282" s="37" t="str">
        <f>Project_Tracker[[#This Row],[Project Lead]]&amp;", "&amp;Project_Tracker[[#This Row],[Team Collaboration]]</f>
        <v xml:space="preserve">, </v>
      </c>
      <c r="V282" s="37"/>
      <c r="W282" s="37"/>
      <c r="X282" s="56"/>
      <c r="Y282" s="10"/>
      <c r="Z282" s="10"/>
    </row>
    <row r="283" spans="1:26" ht="10.199999999999999" x14ac:dyDescent="0.3">
      <c r="A283" s="17"/>
      <c r="B283" s="18"/>
      <c r="C283" s="95"/>
      <c r="D283" s="55"/>
      <c r="E283" s="131"/>
      <c r="F283" s="42"/>
      <c r="G283" s="20"/>
      <c r="H283" s="136"/>
      <c r="I283" s="23"/>
      <c r="J283" s="23"/>
      <c r="K283" s="23"/>
      <c r="L283" s="24"/>
      <c r="M283" s="24"/>
      <c r="N283" s="24"/>
      <c r="O283" s="24"/>
      <c r="P283" s="24"/>
      <c r="Q283" s="24"/>
      <c r="R283" s="24"/>
      <c r="S283" s="46" t="str">
        <f>IF(Project_Tracker[[#This Row],[Project Lead]]="", "", IFERROR(VLOOKUP(Project_Tracker[[#This Row],[Project Lead]], Setting!C:D, 2, 0), ""))</f>
        <v/>
      </c>
      <c r="T283" s="47"/>
      <c r="U283" s="37" t="str">
        <f>Project_Tracker[[#This Row],[Project Lead]]&amp;", "&amp;Project_Tracker[[#This Row],[Team Collaboration]]</f>
        <v xml:space="preserve">, </v>
      </c>
      <c r="V283" s="37"/>
      <c r="W283" s="37"/>
      <c r="X283" s="56"/>
      <c r="Y283" s="10"/>
      <c r="Z283" s="10"/>
    </row>
    <row r="284" spans="1:26" ht="10.199999999999999" x14ac:dyDescent="0.3">
      <c r="A284" s="17"/>
      <c r="B284" s="18"/>
      <c r="C284" s="95"/>
      <c r="D284" s="55"/>
      <c r="E284" s="131"/>
      <c r="F284" s="42"/>
      <c r="G284" s="20"/>
      <c r="H284" s="136"/>
      <c r="I284" s="23"/>
      <c r="J284" s="23"/>
      <c r="K284" s="23"/>
      <c r="L284" s="24"/>
      <c r="M284" s="24"/>
      <c r="N284" s="24"/>
      <c r="O284" s="24"/>
      <c r="P284" s="24"/>
      <c r="Q284" s="24"/>
      <c r="R284" s="24"/>
      <c r="S284" s="46" t="str">
        <f>IF(Project_Tracker[[#This Row],[Project Lead]]="", "", IFERROR(VLOOKUP(Project_Tracker[[#This Row],[Project Lead]], Setting!C:D, 2, 0), ""))</f>
        <v/>
      </c>
      <c r="T284" s="47"/>
      <c r="U284" s="37" t="str">
        <f>Project_Tracker[[#This Row],[Project Lead]]&amp;", "&amp;Project_Tracker[[#This Row],[Team Collaboration]]</f>
        <v xml:space="preserve">, </v>
      </c>
      <c r="V284" s="37"/>
      <c r="W284" s="37"/>
      <c r="X284" s="56"/>
      <c r="Y284" s="10"/>
      <c r="Z284" s="10"/>
    </row>
    <row r="285" spans="1:26" ht="10.199999999999999" x14ac:dyDescent="0.3">
      <c r="A285" s="17"/>
      <c r="B285" s="18"/>
      <c r="C285" s="95"/>
      <c r="D285" s="55"/>
      <c r="E285" s="131"/>
      <c r="F285" s="42"/>
      <c r="G285" s="20"/>
      <c r="H285" s="136"/>
      <c r="I285" s="23"/>
      <c r="J285" s="23"/>
      <c r="K285" s="23"/>
      <c r="L285" s="24"/>
      <c r="M285" s="24"/>
      <c r="N285" s="24"/>
      <c r="O285" s="24"/>
      <c r="P285" s="24"/>
      <c r="Q285" s="24"/>
      <c r="R285" s="24"/>
      <c r="S285" s="46" t="str">
        <f>IF(Project_Tracker[[#This Row],[Project Lead]]="", "", IFERROR(VLOOKUP(Project_Tracker[[#This Row],[Project Lead]], Setting!C:D, 2, 0), ""))</f>
        <v/>
      </c>
      <c r="T285" s="47"/>
      <c r="U285" s="37" t="str">
        <f>Project_Tracker[[#This Row],[Project Lead]]&amp;", "&amp;Project_Tracker[[#This Row],[Team Collaboration]]</f>
        <v xml:space="preserve">, </v>
      </c>
      <c r="V285" s="37"/>
      <c r="W285" s="37"/>
      <c r="X285" s="56"/>
      <c r="Y285" s="10"/>
      <c r="Z285" s="10"/>
    </row>
    <row r="286" spans="1:26" ht="10.199999999999999" x14ac:dyDescent="0.3">
      <c r="A286" s="17"/>
      <c r="B286" s="18"/>
      <c r="C286" s="95"/>
      <c r="D286" s="55"/>
      <c r="E286" s="131"/>
      <c r="F286" s="42"/>
      <c r="G286" s="20"/>
      <c r="H286" s="136"/>
      <c r="I286" s="23"/>
      <c r="J286" s="23"/>
      <c r="K286" s="23"/>
      <c r="L286" s="24"/>
      <c r="M286" s="24"/>
      <c r="N286" s="24"/>
      <c r="O286" s="24"/>
      <c r="P286" s="24"/>
      <c r="Q286" s="24"/>
      <c r="R286" s="24"/>
      <c r="S286" s="46" t="str">
        <f>IF(Project_Tracker[[#This Row],[Project Lead]]="", "", IFERROR(VLOOKUP(Project_Tracker[[#This Row],[Project Lead]], Setting!C:D, 2, 0), ""))</f>
        <v/>
      </c>
      <c r="T286" s="47"/>
      <c r="U286" s="37" t="str">
        <f>Project_Tracker[[#This Row],[Project Lead]]&amp;", "&amp;Project_Tracker[[#This Row],[Team Collaboration]]</f>
        <v xml:space="preserve">, </v>
      </c>
      <c r="V286" s="37"/>
      <c r="W286" s="37"/>
      <c r="X286" s="56"/>
      <c r="Y286" s="10"/>
      <c r="Z286" s="10"/>
    </row>
    <row r="287" spans="1:26" ht="10.199999999999999" x14ac:dyDescent="0.3">
      <c r="A287" s="17"/>
      <c r="B287" s="18"/>
      <c r="C287" s="95"/>
      <c r="D287" s="55"/>
      <c r="E287" s="131"/>
      <c r="F287" s="42"/>
      <c r="G287" s="20"/>
      <c r="H287" s="136"/>
      <c r="I287" s="23"/>
      <c r="J287" s="23"/>
      <c r="K287" s="23"/>
      <c r="L287" s="24"/>
      <c r="M287" s="24"/>
      <c r="N287" s="24"/>
      <c r="O287" s="24"/>
      <c r="P287" s="24"/>
      <c r="Q287" s="24"/>
      <c r="R287" s="24"/>
      <c r="S287" s="46" t="str">
        <f>IF(Project_Tracker[[#This Row],[Project Lead]]="", "", IFERROR(VLOOKUP(Project_Tracker[[#This Row],[Project Lead]], Setting!C:D, 2, 0), ""))</f>
        <v/>
      </c>
      <c r="T287" s="47"/>
      <c r="U287" s="37" t="str">
        <f>Project_Tracker[[#This Row],[Project Lead]]&amp;", "&amp;Project_Tracker[[#This Row],[Team Collaboration]]</f>
        <v xml:space="preserve">, </v>
      </c>
      <c r="V287" s="37"/>
      <c r="W287" s="37"/>
      <c r="X287" s="56"/>
      <c r="Y287" s="10"/>
      <c r="Z287" s="10"/>
    </row>
    <row r="288" spans="1:26" ht="10.199999999999999" x14ac:dyDescent="0.3">
      <c r="A288" s="17"/>
      <c r="B288" s="18"/>
      <c r="C288" s="95"/>
      <c r="D288" s="55"/>
      <c r="E288" s="131"/>
      <c r="F288" s="42"/>
      <c r="G288" s="20"/>
      <c r="H288" s="136"/>
      <c r="I288" s="23"/>
      <c r="J288" s="23"/>
      <c r="K288" s="23"/>
      <c r="L288" s="24"/>
      <c r="M288" s="24"/>
      <c r="N288" s="24"/>
      <c r="O288" s="24"/>
      <c r="P288" s="24"/>
      <c r="Q288" s="24"/>
      <c r="R288" s="24"/>
      <c r="S288" s="46" t="str">
        <f>IF(Project_Tracker[[#This Row],[Project Lead]]="", "", IFERROR(VLOOKUP(Project_Tracker[[#This Row],[Project Lead]], Setting!C:D, 2, 0), ""))</f>
        <v/>
      </c>
      <c r="T288" s="47"/>
      <c r="U288" s="37" t="str">
        <f>Project_Tracker[[#This Row],[Project Lead]]&amp;", "&amp;Project_Tracker[[#This Row],[Team Collaboration]]</f>
        <v xml:space="preserve">, </v>
      </c>
      <c r="V288" s="37"/>
      <c r="W288" s="37"/>
      <c r="X288" s="56"/>
      <c r="Y288" s="10"/>
      <c r="Z288" s="10"/>
    </row>
    <row r="289" spans="1:26" ht="10.199999999999999" x14ac:dyDescent="0.3">
      <c r="A289" s="17"/>
      <c r="B289" s="18"/>
      <c r="C289" s="95"/>
      <c r="D289" s="55"/>
      <c r="E289" s="131"/>
      <c r="F289" s="42"/>
      <c r="G289" s="20"/>
      <c r="H289" s="136"/>
      <c r="I289" s="23"/>
      <c r="J289" s="23"/>
      <c r="K289" s="23"/>
      <c r="L289" s="24"/>
      <c r="M289" s="24"/>
      <c r="N289" s="24"/>
      <c r="O289" s="24"/>
      <c r="P289" s="24"/>
      <c r="Q289" s="24"/>
      <c r="R289" s="24"/>
      <c r="S289" s="46" t="str">
        <f>IF(Project_Tracker[[#This Row],[Project Lead]]="", "", IFERROR(VLOOKUP(Project_Tracker[[#This Row],[Project Lead]], Setting!C:D, 2, 0), ""))</f>
        <v/>
      </c>
      <c r="T289" s="47"/>
      <c r="U289" s="37" t="str">
        <f>Project_Tracker[[#This Row],[Project Lead]]&amp;", "&amp;Project_Tracker[[#This Row],[Team Collaboration]]</f>
        <v xml:space="preserve">, </v>
      </c>
      <c r="V289" s="37"/>
      <c r="W289" s="37"/>
      <c r="X289" s="56"/>
      <c r="Y289" s="10"/>
      <c r="Z289" s="10"/>
    </row>
    <row r="290" spans="1:26" ht="10.199999999999999" x14ac:dyDescent="0.3">
      <c r="A290" s="17"/>
      <c r="B290" s="18"/>
      <c r="C290" s="95"/>
      <c r="D290" s="55"/>
      <c r="E290" s="131"/>
      <c r="F290" s="42"/>
      <c r="G290" s="20"/>
      <c r="H290" s="136"/>
      <c r="I290" s="23"/>
      <c r="J290" s="23"/>
      <c r="K290" s="23"/>
      <c r="L290" s="24"/>
      <c r="M290" s="24"/>
      <c r="N290" s="24"/>
      <c r="O290" s="24"/>
      <c r="P290" s="24"/>
      <c r="Q290" s="24"/>
      <c r="R290" s="24"/>
      <c r="S290" s="46" t="str">
        <f>IF(Project_Tracker[[#This Row],[Project Lead]]="", "", IFERROR(VLOOKUP(Project_Tracker[[#This Row],[Project Lead]], Setting!C:D, 2, 0), ""))</f>
        <v/>
      </c>
      <c r="T290" s="47"/>
      <c r="U290" s="37" t="str">
        <f>Project_Tracker[[#This Row],[Project Lead]]&amp;", "&amp;Project_Tracker[[#This Row],[Team Collaboration]]</f>
        <v xml:space="preserve">, </v>
      </c>
      <c r="V290" s="37"/>
      <c r="W290" s="37"/>
      <c r="X290" s="56"/>
      <c r="Y290" s="10"/>
      <c r="Z290" s="10"/>
    </row>
    <row r="291" spans="1:26" ht="10.199999999999999" x14ac:dyDescent="0.3">
      <c r="A291" s="17"/>
      <c r="B291" s="18"/>
      <c r="C291" s="95"/>
      <c r="D291" s="55"/>
      <c r="E291" s="131"/>
      <c r="F291" s="42"/>
      <c r="G291" s="20"/>
      <c r="H291" s="136"/>
      <c r="I291" s="23"/>
      <c r="J291" s="23"/>
      <c r="K291" s="23"/>
      <c r="L291" s="24"/>
      <c r="M291" s="24"/>
      <c r="N291" s="24"/>
      <c r="O291" s="24"/>
      <c r="P291" s="24"/>
      <c r="Q291" s="24"/>
      <c r="R291" s="24"/>
      <c r="S291" s="46" t="str">
        <f>IF(Project_Tracker[[#This Row],[Project Lead]]="", "", IFERROR(VLOOKUP(Project_Tracker[[#This Row],[Project Lead]], Setting!C:D, 2, 0), ""))</f>
        <v/>
      </c>
      <c r="T291" s="47"/>
      <c r="U291" s="37" t="str">
        <f>Project_Tracker[[#This Row],[Project Lead]]&amp;", "&amp;Project_Tracker[[#This Row],[Team Collaboration]]</f>
        <v xml:space="preserve">, </v>
      </c>
      <c r="V291" s="37"/>
      <c r="W291" s="37"/>
      <c r="X291" s="56"/>
      <c r="Y291" s="10"/>
      <c r="Z291" s="10"/>
    </row>
    <row r="292" spans="1:26" ht="10.199999999999999" x14ac:dyDescent="0.3">
      <c r="A292" s="17"/>
      <c r="B292" s="18"/>
      <c r="C292" s="95"/>
      <c r="D292" s="55"/>
      <c r="E292" s="131"/>
      <c r="F292" s="42"/>
      <c r="G292" s="20"/>
      <c r="H292" s="136"/>
      <c r="I292" s="23"/>
      <c r="J292" s="23"/>
      <c r="K292" s="23"/>
      <c r="L292" s="24"/>
      <c r="M292" s="24"/>
      <c r="N292" s="24"/>
      <c r="O292" s="24"/>
      <c r="P292" s="24"/>
      <c r="Q292" s="24"/>
      <c r="R292" s="24"/>
      <c r="S292" s="46" t="str">
        <f>IF(Project_Tracker[[#This Row],[Project Lead]]="", "", IFERROR(VLOOKUP(Project_Tracker[[#This Row],[Project Lead]], Setting!C:D, 2, 0), ""))</f>
        <v/>
      </c>
      <c r="T292" s="47"/>
      <c r="U292" s="37" t="str">
        <f>Project_Tracker[[#This Row],[Project Lead]]&amp;", "&amp;Project_Tracker[[#This Row],[Team Collaboration]]</f>
        <v xml:space="preserve">, </v>
      </c>
      <c r="V292" s="37"/>
      <c r="W292" s="37"/>
      <c r="X292" s="56"/>
      <c r="Y292" s="10"/>
      <c r="Z292" s="10"/>
    </row>
    <row r="293" spans="1:26" ht="10.199999999999999" x14ac:dyDescent="0.3">
      <c r="A293" s="17"/>
      <c r="B293" s="18"/>
      <c r="C293" s="95"/>
      <c r="D293" s="55"/>
      <c r="E293" s="131"/>
      <c r="F293" s="42"/>
      <c r="G293" s="20"/>
      <c r="H293" s="136"/>
      <c r="I293" s="23"/>
      <c r="J293" s="23"/>
      <c r="K293" s="23"/>
      <c r="L293" s="24"/>
      <c r="M293" s="24"/>
      <c r="N293" s="24"/>
      <c r="O293" s="24"/>
      <c r="P293" s="24"/>
      <c r="Q293" s="24"/>
      <c r="R293" s="24"/>
      <c r="S293" s="46" t="str">
        <f>IF(Project_Tracker[[#This Row],[Project Lead]]="", "", IFERROR(VLOOKUP(Project_Tracker[[#This Row],[Project Lead]], Setting!C:D, 2, 0), ""))</f>
        <v/>
      </c>
      <c r="T293" s="47"/>
      <c r="U293" s="37" t="str">
        <f>Project_Tracker[[#This Row],[Project Lead]]&amp;", "&amp;Project_Tracker[[#This Row],[Team Collaboration]]</f>
        <v xml:space="preserve">, </v>
      </c>
      <c r="V293" s="37"/>
      <c r="W293" s="37"/>
      <c r="X293" s="56"/>
      <c r="Y293" s="10"/>
      <c r="Z293" s="10"/>
    </row>
    <row r="294" spans="1:26" ht="10.199999999999999" x14ac:dyDescent="0.3">
      <c r="A294" s="17"/>
      <c r="B294" s="18"/>
      <c r="C294" s="95"/>
      <c r="D294" s="55"/>
      <c r="E294" s="131"/>
      <c r="F294" s="42"/>
      <c r="G294" s="20"/>
      <c r="H294" s="136"/>
      <c r="I294" s="23"/>
      <c r="J294" s="23"/>
      <c r="K294" s="23"/>
      <c r="L294" s="24"/>
      <c r="M294" s="24"/>
      <c r="N294" s="24"/>
      <c r="O294" s="24"/>
      <c r="P294" s="24"/>
      <c r="Q294" s="24"/>
      <c r="R294" s="24"/>
      <c r="S294" s="46" t="str">
        <f>IF(Project_Tracker[[#This Row],[Project Lead]]="", "", IFERROR(VLOOKUP(Project_Tracker[[#This Row],[Project Lead]], Setting!C:D, 2, 0), ""))</f>
        <v/>
      </c>
      <c r="T294" s="47"/>
      <c r="U294" s="37" t="str">
        <f>Project_Tracker[[#This Row],[Project Lead]]&amp;", "&amp;Project_Tracker[[#This Row],[Team Collaboration]]</f>
        <v xml:space="preserve">, </v>
      </c>
      <c r="V294" s="37"/>
      <c r="W294" s="37"/>
      <c r="X294" s="56"/>
      <c r="Y294" s="10"/>
      <c r="Z294" s="10"/>
    </row>
    <row r="295" spans="1:26" ht="10.199999999999999" x14ac:dyDescent="0.3">
      <c r="A295" s="17"/>
      <c r="B295" s="18"/>
      <c r="C295" s="95"/>
      <c r="D295" s="55"/>
      <c r="E295" s="131"/>
      <c r="F295" s="42"/>
      <c r="G295" s="20"/>
      <c r="H295" s="136"/>
      <c r="I295" s="23"/>
      <c r="J295" s="23"/>
      <c r="K295" s="23"/>
      <c r="L295" s="24"/>
      <c r="M295" s="24"/>
      <c r="N295" s="24"/>
      <c r="O295" s="24"/>
      <c r="P295" s="24"/>
      <c r="Q295" s="24"/>
      <c r="R295" s="24"/>
      <c r="S295" s="46" t="str">
        <f>IF(Project_Tracker[[#This Row],[Project Lead]]="", "", IFERROR(VLOOKUP(Project_Tracker[[#This Row],[Project Lead]], Setting!C:D, 2, 0), ""))</f>
        <v/>
      </c>
      <c r="T295" s="47"/>
      <c r="U295" s="37" t="str">
        <f>Project_Tracker[[#This Row],[Project Lead]]&amp;", "&amp;Project_Tracker[[#This Row],[Team Collaboration]]</f>
        <v xml:space="preserve">, </v>
      </c>
      <c r="V295" s="37"/>
      <c r="W295" s="37"/>
      <c r="X295" s="56"/>
      <c r="Y295" s="10"/>
      <c r="Z295" s="10"/>
    </row>
    <row r="296" spans="1:26" ht="10.199999999999999" x14ac:dyDescent="0.3">
      <c r="A296" s="17"/>
      <c r="B296" s="18"/>
      <c r="C296" s="95"/>
      <c r="D296" s="55"/>
      <c r="E296" s="131"/>
      <c r="F296" s="42"/>
      <c r="G296" s="20"/>
      <c r="H296" s="136"/>
      <c r="I296" s="23"/>
      <c r="J296" s="23"/>
      <c r="K296" s="23"/>
      <c r="L296" s="24"/>
      <c r="M296" s="24"/>
      <c r="N296" s="24"/>
      <c r="O296" s="24"/>
      <c r="P296" s="24"/>
      <c r="Q296" s="24"/>
      <c r="R296" s="24"/>
      <c r="S296" s="46" t="str">
        <f>IF(Project_Tracker[[#This Row],[Project Lead]]="", "", IFERROR(VLOOKUP(Project_Tracker[[#This Row],[Project Lead]], Setting!C:D, 2, 0), ""))</f>
        <v/>
      </c>
      <c r="T296" s="47"/>
      <c r="U296" s="37" t="str">
        <f>Project_Tracker[[#This Row],[Project Lead]]&amp;", "&amp;Project_Tracker[[#This Row],[Team Collaboration]]</f>
        <v xml:space="preserve">, </v>
      </c>
      <c r="V296" s="37"/>
      <c r="W296" s="37"/>
      <c r="X296" s="56"/>
      <c r="Y296" s="10"/>
      <c r="Z296" s="10"/>
    </row>
    <row r="297" spans="1:26" ht="10.199999999999999" x14ac:dyDescent="0.3">
      <c r="A297" s="17"/>
      <c r="B297" s="18"/>
      <c r="C297" s="95"/>
      <c r="D297" s="55"/>
      <c r="E297" s="131"/>
      <c r="F297" s="42"/>
      <c r="G297" s="20"/>
      <c r="H297" s="136"/>
      <c r="I297" s="23"/>
      <c r="J297" s="23"/>
      <c r="K297" s="23"/>
      <c r="L297" s="24"/>
      <c r="M297" s="24"/>
      <c r="N297" s="24"/>
      <c r="O297" s="24"/>
      <c r="P297" s="24"/>
      <c r="Q297" s="24"/>
      <c r="R297" s="24"/>
      <c r="S297" s="46" t="str">
        <f>IF(Project_Tracker[[#This Row],[Project Lead]]="", "", IFERROR(VLOOKUP(Project_Tracker[[#This Row],[Project Lead]], Setting!C:D, 2, 0), ""))</f>
        <v/>
      </c>
      <c r="T297" s="47"/>
      <c r="U297" s="37" t="str">
        <f>Project_Tracker[[#This Row],[Project Lead]]&amp;", "&amp;Project_Tracker[[#This Row],[Team Collaboration]]</f>
        <v xml:space="preserve">, </v>
      </c>
      <c r="V297" s="37"/>
      <c r="W297" s="37"/>
      <c r="X297" s="56"/>
      <c r="Y297" s="10"/>
      <c r="Z297" s="10"/>
    </row>
    <row r="298" spans="1:26" ht="10.199999999999999" x14ac:dyDescent="0.3">
      <c r="A298" s="17"/>
      <c r="B298" s="18"/>
      <c r="C298" s="95"/>
      <c r="D298" s="55"/>
      <c r="E298" s="131"/>
      <c r="F298" s="42"/>
      <c r="G298" s="20"/>
      <c r="H298" s="136"/>
      <c r="I298" s="23"/>
      <c r="J298" s="23"/>
      <c r="K298" s="23"/>
      <c r="L298" s="24"/>
      <c r="M298" s="24"/>
      <c r="N298" s="24"/>
      <c r="O298" s="24"/>
      <c r="P298" s="24"/>
      <c r="Q298" s="24"/>
      <c r="R298" s="24"/>
      <c r="S298" s="46" t="str">
        <f>IF(Project_Tracker[[#This Row],[Project Lead]]="", "", IFERROR(VLOOKUP(Project_Tracker[[#This Row],[Project Lead]], Setting!C:D, 2, 0), ""))</f>
        <v/>
      </c>
      <c r="T298" s="47"/>
      <c r="U298" s="37" t="str">
        <f>Project_Tracker[[#This Row],[Project Lead]]&amp;", "&amp;Project_Tracker[[#This Row],[Team Collaboration]]</f>
        <v xml:space="preserve">, </v>
      </c>
      <c r="V298" s="37"/>
      <c r="W298" s="37"/>
      <c r="X298" s="56"/>
      <c r="Y298" s="10"/>
      <c r="Z298" s="10"/>
    </row>
    <row r="299" spans="1:26" ht="10.199999999999999" x14ac:dyDescent="0.3">
      <c r="A299" s="17"/>
      <c r="B299" s="18"/>
      <c r="C299" s="95"/>
      <c r="D299" s="55"/>
      <c r="E299" s="131"/>
      <c r="F299" s="42"/>
      <c r="G299" s="20"/>
      <c r="H299" s="136"/>
      <c r="I299" s="23"/>
      <c r="J299" s="23"/>
      <c r="K299" s="23"/>
      <c r="L299" s="24"/>
      <c r="M299" s="24"/>
      <c r="N299" s="24"/>
      <c r="O299" s="24"/>
      <c r="P299" s="24"/>
      <c r="Q299" s="24"/>
      <c r="R299" s="24"/>
      <c r="S299" s="46" t="str">
        <f>IF(Project_Tracker[[#This Row],[Project Lead]]="", "", IFERROR(VLOOKUP(Project_Tracker[[#This Row],[Project Lead]], Setting!C:D, 2, 0), ""))</f>
        <v/>
      </c>
      <c r="T299" s="47"/>
      <c r="U299" s="37" t="str">
        <f>Project_Tracker[[#This Row],[Project Lead]]&amp;", "&amp;Project_Tracker[[#This Row],[Team Collaboration]]</f>
        <v xml:space="preserve">, </v>
      </c>
      <c r="V299" s="37"/>
      <c r="W299" s="37"/>
      <c r="X299" s="56"/>
      <c r="Y299" s="10"/>
      <c r="Z299" s="10"/>
    </row>
    <row r="300" spans="1:26" ht="10.199999999999999" x14ac:dyDescent="0.3">
      <c r="A300" s="17"/>
      <c r="B300" s="18"/>
      <c r="C300" s="95"/>
      <c r="D300" s="55"/>
      <c r="E300" s="131"/>
      <c r="F300" s="42"/>
      <c r="G300" s="20"/>
      <c r="H300" s="136"/>
      <c r="I300" s="23"/>
      <c r="J300" s="23"/>
      <c r="K300" s="23"/>
      <c r="L300" s="24"/>
      <c r="M300" s="24"/>
      <c r="N300" s="24"/>
      <c r="O300" s="24"/>
      <c r="P300" s="24"/>
      <c r="Q300" s="24"/>
      <c r="R300" s="24"/>
      <c r="S300" s="46" t="str">
        <f>IF(Project_Tracker[[#This Row],[Project Lead]]="", "", IFERROR(VLOOKUP(Project_Tracker[[#This Row],[Project Lead]], Setting!C:D, 2, 0), ""))</f>
        <v/>
      </c>
      <c r="T300" s="47"/>
      <c r="U300" s="37" t="str">
        <f>Project_Tracker[[#This Row],[Project Lead]]&amp;", "&amp;Project_Tracker[[#This Row],[Team Collaboration]]</f>
        <v xml:space="preserve">, </v>
      </c>
      <c r="V300" s="37"/>
      <c r="W300" s="37"/>
      <c r="X300" s="56"/>
      <c r="Y300" s="10"/>
      <c r="Z300" s="10"/>
    </row>
    <row r="301" spans="1:26" ht="10.199999999999999" x14ac:dyDescent="0.3">
      <c r="A301" s="17"/>
      <c r="B301" s="18"/>
      <c r="C301" s="95"/>
      <c r="D301" s="55"/>
      <c r="E301" s="131"/>
      <c r="F301" s="42"/>
      <c r="G301" s="20"/>
      <c r="H301" s="136"/>
      <c r="I301" s="23"/>
      <c r="J301" s="23"/>
      <c r="K301" s="23"/>
      <c r="L301" s="24"/>
      <c r="M301" s="24"/>
      <c r="N301" s="24"/>
      <c r="O301" s="24"/>
      <c r="P301" s="24"/>
      <c r="Q301" s="24"/>
      <c r="R301" s="24"/>
      <c r="S301" s="46" t="str">
        <f>IF(Project_Tracker[[#This Row],[Project Lead]]="", "", IFERROR(VLOOKUP(Project_Tracker[[#This Row],[Project Lead]], Setting!C:D, 2, 0), ""))</f>
        <v/>
      </c>
      <c r="T301" s="47"/>
      <c r="U301" s="37" t="str">
        <f>Project_Tracker[[#This Row],[Project Lead]]&amp;", "&amp;Project_Tracker[[#This Row],[Team Collaboration]]</f>
        <v xml:space="preserve">, </v>
      </c>
      <c r="V301" s="37"/>
      <c r="W301" s="37"/>
      <c r="X301" s="56"/>
      <c r="Y301" s="10"/>
      <c r="Z301" s="10"/>
    </row>
    <row r="302" spans="1:26" ht="10.199999999999999" x14ac:dyDescent="0.3">
      <c r="A302" s="17"/>
      <c r="B302" s="18"/>
      <c r="C302" s="95"/>
      <c r="D302" s="55"/>
      <c r="E302" s="131"/>
      <c r="F302" s="42"/>
      <c r="G302" s="20"/>
      <c r="H302" s="136"/>
      <c r="I302" s="23"/>
      <c r="J302" s="23"/>
      <c r="K302" s="23"/>
      <c r="L302" s="24"/>
      <c r="M302" s="24"/>
      <c r="N302" s="24"/>
      <c r="O302" s="24"/>
      <c r="P302" s="24"/>
      <c r="Q302" s="24"/>
      <c r="R302" s="24"/>
      <c r="S302" s="46" t="str">
        <f>IF(Project_Tracker[[#This Row],[Project Lead]]="", "", IFERROR(VLOOKUP(Project_Tracker[[#This Row],[Project Lead]], Setting!C:D, 2, 0), ""))</f>
        <v/>
      </c>
      <c r="T302" s="47"/>
      <c r="U302" s="37" t="str">
        <f>Project_Tracker[[#This Row],[Project Lead]]&amp;", "&amp;Project_Tracker[[#This Row],[Team Collaboration]]</f>
        <v xml:space="preserve">, </v>
      </c>
      <c r="V302" s="37"/>
      <c r="W302" s="37"/>
      <c r="X302" s="56"/>
      <c r="Y302" s="10"/>
      <c r="Z302" s="10"/>
    </row>
    <row r="303" spans="1:26" ht="10.199999999999999" x14ac:dyDescent="0.3">
      <c r="A303" s="17"/>
      <c r="B303" s="18"/>
      <c r="C303" s="95"/>
      <c r="D303" s="55"/>
      <c r="E303" s="131"/>
      <c r="F303" s="42"/>
      <c r="G303" s="20"/>
      <c r="H303" s="136"/>
      <c r="I303" s="23"/>
      <c r="J303" s="23"/>
      <c r="K303" s="23"/>
      <c r="L303" s="24"/>
      <c r="M303" s="24"/>
      <c r="N303" s="24"/>
      <c r="O303" s="24"/>
      <c r="P303" s="24"/>
      <c r="Q303" s="24"/>
      <c r="R303" s="24"/>
      <c r="S303" s="46" t="str">
        <f>IF(Project_Tracker[[#This Row],[Project Lead]]="", "", IFERROR(VLOOKUP(Project_Tracker[[#This Row],[Project Lead]], Setting!C:D, 2, 0), ""))</f>
        <v/>
      </c>
      <c r="T303" s="47"/>
      <c r="U303" s="37" t="str">
        <f>Project_Tracker[[#This Row],[Project Lead]]&amp;", "&amp;Project_Tracker[[#This Row],[Team Collaboration]]</f>
        <v xml:space="preserve">, </v>
      </c>
      <c r="V303" s="37"/>
      <c r="W303" s="37"/>
      <c r="X303" s="56"/>
      <c r="Y303" s="10"/>
      <c r="Z303" s="10"/>
    </row>
    <row r="304" spans="1:26" ht="10.199999999999999" x14ac:dyDescent="0.3">
      <c r="A304" s="17"/>
      <c r="B304" s="18"/>
      <c r="C304" s="95"/>
      <c r="D304" s="55"/>
      <c r="E304" s="131"/>
      <c r="F304" s="42"/>
      <c r="G304" s="20"/>
      <c r="H304" s="136"/>
      <c r="I304" s="23"/>
      <c r="J304" s="23"/>
      <c r="K304" s="23"/>
      <c r="L304" s="24"/>
      <c r="M304" s="24"/>
      <c r="N304" s="24"/>
      <c r="O304" s="24"/>
      <c r="P304" s="24"/>
      <c r="Q304" s="24"/>
      <c r="R304" s="24"/>
      <c r="S304" s="46" t="str">
        <f>IF(Project_Tracker[[#This Row],[Project Lead]]="", "", IFERROR(VLOOKUP(Project_Tracker[[#This Row],[Project Lead]], Setting!C:D, 2, 0), ""))</f>
        <v/>
      </c>
      <c r="T304" s="47"/>
      <c r="U304" s="37" t="str">
        <f>Project_Tracker[[#This Row],[Project Lead]]&amp;", "&amp;Project_Tracker[[#This Row],[Team Collaboration]]</f>
        <v xml:space="preserve">, </v>
      </c>
      <c r="V304" s="37"/>
      <c r="W304" s="37"/>
      <c r="X304" s="56"/>
      <c r="Y304" s="10"/>
      <c r="Z304" s="10"/>
    </row>
    <row r="305" spans="1:26" ht="10.199999999999999" x14ac:dyDescent="0.3">
      <c r="A305" s="17"/>
      <c r="B305" s="18"/>
      <c r="C305" s="95"/>
      <c r="D305" s="55"/>
      <c r="E305" s="131"/>
      <c r="F305" s="42"/>
      <c r="G305" s="20"/>
      <c r="H305" s="136"/>
      <c r="I305" s="23"/>
      <c r="J305" s="23"/>
      <c r="K305" s="23"/>
      <c r="L305" s="24"/>
      <c r="M305" s="24"/>
      <c r="N305" s="24"/>
      <c r="O305" s="24"/>
      <c r="P305" s="24"/>
      <c r="Q305" s="24"/>
      <c r="R305" s="24"/>
      <c r="S305" s="46" t="str">
        <f>IF(Project_Tracker[[#This Row],[Project Lead]]="", "", IFERROR(VLOOKUP(Project_Tracker[[#This Row],[Project Lead]], Setting!C:D, 2, 0), ""))</f>
        <v/>
      </c>
      <c r="T305" s="47"/>
      <c r="U305" s="37" t="str">
        <f>Project_Tracker[[#This Row],[Project Lead]]&amp;", "&amp;Project_Tracker[[#This Row],[Team Collaboration]]</f>
        <v xml:space="preserve">, </v>
      </c>
      <c r="V305" s="37"/>
      <c r="W305" s="37"/>
      <c r="X305" s="56"/>
      <c r="Y305" s="10"/>
      <c r="Z305" s="10"/>
    </row>
    <row r="306" spans="1:26" ht="10.199999999999999" x14ac:dyDescent="0.3">
      <c r="A306" s="17"/>
      <c r="B306" s="18"/>
      <c r="C306" s="95"/>
      <c r="D306" s="55"/>
      <c r="E306" s="131"/>
      <c r="F306" s="42"/>
      <c r="G306" s="20"/>
      <c r="H306" s="136"/>
      <c r="I306" s="23"/>
      <c r="J306" s="23"/>
      <c r="K306" s="23"/>
      <c r="L306" s="24"/>
      <c r="M306" s="24"/>
      <c r="N306" s="24"/>
      <c r="O306" s="24"/>
      <c r="P306" s="24"/>
      <c r="Q306" s="24"/>
      <c r="R306" s="24"/>
      <c r="S306" s="46" t="str">
        <f>IF(Project_Tracker[[#This Row],[Project Lead]]="", "", IFERROR(VLOOKUP(Project_Tracker[[#This Row],[Project Lead]], Setting!C:D, 2, 0), ""))</f>
        <v/>
      </c>
      <c r="T306" s="47"/>
      <c r="U306" s="37" t="str">
        <f>Project_Tracker[[#This Row],[Project Lead]]&amp;", "&amp;Project_Tracker[[#This Row],[Team Collaboration]]</f>
        <v xml:space="preserve">, </v>
      </c>
      <c r="V306" s="37"/>
      <c r="W306" s="37"/>
      <c r="X306" s="56"/>
      <c r="Y306" s="10"/>
      <c r="Z306" s="10"/>
    </row>
    <row r="307" spans="1:26" ht="10.199999999999999" x14ac:dyDescent="0.3">
      <c r="A307" s="17"/>
      <c r="B307" s="18"/>
      <c r="C307" s="95"/>
      <c r="D307" s="55"/>
      <c r="E307" s="131"/>
      <c r="F307" s="42"/>
      <c r="G307" s="20"/>
      <c r="H307" s="136"/>
      <c r="I307" s="23"/>
      <c r="J307" s="23"/>
      <c r="K307" s="23"/>
      <c r="L307" s="24"/>
      <c r="M307" s="24"/>
      <c r="N307" s="24"/>
      <c r="O307" s="24"/>
      <c r="P307" s="24"/>
      <c r="Q307" s="24"/>
      <c r="R307" s="24"/>
      <c r="S307" s="46" t="str">
        <f>IF(Project_Tracker[[#This Row],[Project Lead]]="", "", IFERROR(VLOOKUP(Project_Tracker[[#This Row],[Project Lead]], Setting!C:D, 2, 0), ""))</f>
        <v/>
      </c>
      <c r="T307" s="47"/>
      <c r="U307" s="37" t="str">
        <f>Project_Tracker[[#This Row],[Project Lead]]&amp;", "&amp;Project_Tracker[[#This Row],[Team Collaboration]]</f>
        <v xml:space="preserve">, </v>
      </c>
      <c r="V307" s="37"/>
      <c r="W307" s="37"/>
      <c r="X307" s="56"/>
      <c r="Y307" s="10"/>
      <c r="Z307" s="10"/>
    </row>
    <row r="308" spans="1:26" ht="10.199999999999999" x14ac:dyDescent="0.3">
      <c r="A308" s="17"/>
      <c r="B308" s="18"/>
      <c r="C308" s="95"/>
      <c r="D308" s="55"/>
      <c r="E308" s="131"/>
      <c r="F308" s="42"/>
      <c r="G308" s="20"/>
      <c r="H308" s="136"/>
      <c r="I308" s="23"/>
      <c r="J308" s="23"/>
      <c r="K308" s="23"/>
      <c r="L308" s="24"/>
      <c r="M308" s="24"/>
      <c r="N308" s="24"/>
      <c r="O308" s="24"/>
      <c r="P308" s="24"/>
      <c r="Q308" s="24"/>
      <c r="R308" s="24"/>
      <c r="S308" s="46" t="str">
        <f>IF(Project_Tracker[[#This Row],[Project Lead]]="", "", IFERROR(VLOOKUP(Project_Tracker[[#This Row],[Project Lead]], Setting!C:D, 2, 0), ""))</f>
        <v/>
      </c>
      <c r="T308" s="47"/>
      <c r="U308" s="37" t="str">
        <f>Project_Tracker[[#This Row],[Project Lead]]&amp;", "&amp;Project_Tracker[[#This Row],[Team Collaboration]]</f>
        <v xml:space="preserve">, </v>
      </c>
      <c r="V308" s="37"/>
      <c r="W308" s="37"/>
      <c r="X308" s="56"/>
      <c r="Y308" s="10"/>
      <c r="Z308" s="10"/>
    </row>
    <row r="309" spans="1:26" ht="10.199999999999999" x14ac:dyDescent="0.3">
      <c r="A309" s="17"/>
      <c r="B309" s="18"/>
      <c r="C309" s="95"/>
      <c r="D309" s="55"/>
      <c r="E309" s="131"/>
      <c r="F309" s="42"/>
      <c r="G309" s="20"/>
      <c r="H309" s="136"/>
      <c r="I309" s="23"/>
      <c r="J309" s="23"/>
      <c r="K309" s="23"/>
      <c r="L309" s="24"/>
      <c r="M309" s="24"/>
      <c r="N309" s="24"/>
      <c r="O309" s="24"/>
      <c r="P309" s="24"/>
      <c r="Q309" s="24"/>
      <c r="R309" s="24"/>
      <c r="S309" s="46" t="str">
        <f>IF(Project_Tracker[[#This Row],[Project Lead]]="", "", IFERROR(VLOOKUP(Project_Tracker[[#This Row],[Project Lead]], Setting!C:D, 2, 0), ""))</f>
        <v/>
      </c>
      <c r="T309" s="47"/>
      <c r="U309" s="37" t="str">
        <f>Project_Tracker[[#This Row],[Project Lead]]&amp;", "&amp;Project_Tracker[[#This Row],[Team Collaboration]]</f>
        <v xml:space="preserve">, </v>
      </c>
      <c r="V309" s="37"/>
      <c r="W309" s="37"/>
      <c r="X309" s="56"/>
      <c r="Y309" s="10"/>
      <c r="Z309" s="10"/>
    </row>
    <row r="310" spans="1:26" ht="10.199999999999999" x14ac:dyDescent="0.3">
      <c r="A310" s="17"/>
      <c r="B310" s="18"/>
      <c r="C310" s="95"/>
      <c r="D310" s="55"/>
      <c r="E310" s="131"/>
      <c r="F310" s="42"/>
      <c r="G310" s="20"/>
      <c r="H310" s="136"/>
      <c r="I310" s="23"/>
      <c r="J310" s="23"/>
      <c r="K310" s="23"/>
      <c r="L310" s="24"/>
      <c r="M310" s="24"/>
      <c r="N310" s="24"/>
      <c r="O310" s="24"/>
      <c r="P310" s="24"/>
      <c r="Q310" s="24"/>
      <c r="R310" s="24"/>
      <c r="S310" s="46" t="str">
        <f>IF(Project_Tracker[[#This Row],[Project Lead]]="", "", IFERROR(VLOOKUP(Project_Tracker[[#This Row],[Project Lead]], Setting!C:D, 2, 0), ""))</f>
        <v/>
      </c>
      <c r="T310" s="47"/>
      <c r="U310" s="37" t="str">
        <f>Project_Tracker[[#This Row],[Project Lead]]&amp;", "&amp;Project_Tracker[[#This Row],[Team Collaboration]]</f>
        <v xml:space="preserve">, </v>
      </c>
      <c r="V310" s="37"/>
      <c r="W310" s="37"/>
      <c r="X310" s="56"/>
      <c r="Y310" s="10"/>
      <c r="Z310" s="10"/>
    </row>
    <row r="311" spans="1:26" ht="10.199999999999999" x14ac:dyDescent="0.3">
      <c r="A311" s="17"/>
      <c r="B311" s="18"/>
      <c r="C311" s="95"/>
      <c r="D311" s="55"/>
      <c r="E311" s="131"/>
      <c r="F311" s="42"/>
      <c r="G311" s="20"/>
      <c r="H311" s="136"/>
      <c r="I311" s="23"/>
      <c r="J311" s="23"/>
      <c r="K311" s="23"/>
      <c r="L311" s="24"/>
      <c r="M311" s="24"/>
      <c r="N311" s="24"/>
      <c r="O311" s="24"/>
      <c r="P311" s="24"/>
      <c r="Q311" s="24"/>
      <c r="R311" s="24"/>
      <c r="S311" s="46" t="str">
        <f>IF(Project_Tracker[[#This Row],[Project Lead]]="", "", IFERROR(VLOOKUP(Project_Tracker[[#This Row],[Project Lead]], Setting!C:D, 2, 0), ""))</f>
        <v/>
      </c>
      <c r="T311" s="47"/>
      <c r="U311" s="37" t="str">
        <f>Project_Tracker[[#This Row],[Project Lead]]&amp;", "&amp;Project_Tracker[[#This Row],[Team Collaboration]]</f>
        <v xml:space="preserve">, </v>
      </c>
      <c r="V311" s="37"/>
      <c r="W311" s="37"/>
      <c r="X311" s="56"/>
      <c r="Y311" s="10"/>
      <c r="Z311" s="10"/>
    </row>
    <row r="312" spans="1:26" ht="10.199999999999999" x14ac:dyDescent="0.3">
      <c r="A312" s="17"/>
      <c r="B312" s="18"/>
      <c r="C312" s="95"/>
      <c r="D312" s="55"/>
      <c r="E312" s="131"/>
      <c r="F312" s="42"/>
      <c r="G312" s="20"/>
      <c r="H312" s="136"/>
      <c r="I312" s="23"/>
      <c r="J312" s="23"/>
      <c r="K312" s="23"/>
      <c r="L312" s="24"/>
      <c r="M312" s="24"/>
      <c r="N312" s="24"/>
      <c r="O312" s="24"/>
      <c r="P312" s="24"/>
      <c r="Q312" s="24"/>
      <c r="R312" s="24"/>
      <c r="S312" s="46" t="str">
        <f>IF(Project_Tracker[[#This Row],[Project Lead]]="", "", IFERROR(VLOOKUP(Project_Tracker[[#This Row],[Project Lead]], Setting!C:D, 2, 0), ""))</f>
        <v/>
      </c>
      <c r="T312" s="47"/>
      <c r="U312" s="37" t="str">
        <f>Project_Tracker[[#This Row],[Project Lead]]&amp;", "&amp;Project_Tracker[[#This Row],[Team Collaboration]]</f>
        <v xml:space="preserve">, </v>
      </c>
      <c r="V312" s="37"/>
      <c r="W312" s="37"/>
      <c r="X312" s="56"/>
      <c r="Y312" s="10"/>
      <c r="Z312" s="10"/>
    </row>
    <row r="313" spans="1:26" ht="10.199999999999999" x14ac:dyDescent="0.3">
      <c r="A313" s="17"/>
      <c r="B313" s="18"/>
      <c r="C313" s="95"/>
      <c r="D313" s="55"/>
      <c r="E313" s="131"/>
      <c r="F313" s="42"/>
      <c r="G313" s="20"/>
      <c r="H313" s="136"/>
      <c r="I313" s="23"/>
      <c r="J313" s="23"/>
      <c r="K313" s="23"/>
      <c r="L313" s="24"/>
      <c r="M313" s="24"/>
      <c r="N313" s="24"/>
      <c r="O313" s="24"/>
      <c r="P313" s="24"/>
      <c r="Q313" s="24"/>
      <c r="R313" s="24"/>
      <c r="S313" s="46" t="str">
        <f>IF(Project_Tracker[[#This Row],[Project Lead]]="", "", IFERROR(VLOOKUP(Project_Tracker[[#This Row],[Project Lead]], Setting!C:D, 2, 0), ""))</f>
        <v/>
      </c>
      <c r="T313" s="47"/>
      <c r="U313" s="37" t="str">
        <f>Project_Tracker[[#This Row],[Project Lead]]&amp;", "&amp;Project_Tracker[[#This Row],[Team Collaboration]]</f>
        <v xml:space="preserve">, </v>
      </c>
      <c r="V313" s="37"/>
      <c r="W313" s="37"/>
      <c r="X313" s="56"/>
      <c r="Y313" s="10"/>
      <c r="Z313" s="10"/>
    </row>
    <row r="314" spans="1:26" ht="10.199999999999999" x14ac:dyDescent="0.3">
      <c r="A314" s="17"/>
      <c r="B314" s="18"/>
      <c r="C314" s="95"/>
      <c r="D314" s="55"/>
      <c r="E314" s="131"/>
      <c r="F314" s="42"/>
      <c r="G314" s="20"/>
      <c r="H314" s="136"/>
      <c r="I314" s="23"/>
      <c r="J314" s="23"/>
      <c r="K314" s="23"/>
      <c r="L314" s="24"/>
      <c r="M314" s="24"/>
      <c r="N314" s="24"/>
      <c r="O314" s="24"/>
      <c r="P314" s="24"/>
      <c r="Q314" s="24"/>
      <c r="R314" s="24"/>
      <c r="S314" s="46" t="str">
        <f>IF(Project_Tracker[[#This Row],[Project Lead]]="", "", IFERROR(VLOOKUP(Project_Tracker[[#This Row],[Project Lead]], Setting!C:D, 2, 0), ""))</f>
        <v/>
      </c>
      <c r="T314" s="47"/>
      <c r="U314" s="37" t="str">
        <f>Project_Tracker[[#This Row],[Project Lead]]&amp;", "&amp;Project_Tracker[[#This Row],[Team Collaboration]]</f>
        <v xml:space="preserve">, </v>
      </c>
      <c r="V314" s="37"/>
      <c r="W314" s="37"/>
      <c r="X314" s="56"/>
      <c r="Y314" s="10"/>
      <c r="Z314" s="10"/>
    </row>
    <row r="315" spans="1:26" ht="10.199999999999999" x14ac:dyDescent="0.3">
      <c r="A315" s="17"/>
      <c r="B315" s="18"/>
      <c r="C315" s="95"/>
      <c r="D315" s="55"/>
      <c r="E315" s="131"/>
      <c r="F315" s="42"/>
      <c r="G315" s="20"/>
      <c r="H315" s="136"/>
      <c r="I315" s="23"/>
      <c r="J315" s="23"/>
      <c r="K315" s="23"/>
      <c r="L315" s="24"/>
      <c r="M315" s="24"/>
      <c r="N315" s="24"/>
      <c r="O315" s="24"/>
      <c r="P315" s="24"/>
      <c r="Q315" s="24"/>
      <c r="R315" s="24"/>
      <c r="S315" s="46" t="str">
        <f>IF(Project_Tracker[[#This Row],[Project Lead]]="", "", IFERROR(VLOOKUP(Project_Tracker[[#This Row],[Project Lead]], Setting!C:D, 2, 0), ""))</f>
        <v/>
      </c>
      <c r="T315" s="47"/>
      <c r="U315" s="37" t="str">
        <f>Project_Tracker[[#This Row],[Project Lead]]&amp;", "&amp;Project_Tracker[[#This Row],[Team Collaboration]]</f>
        <v xml:space="preserve">, </v>
      </c>
      <c r="V315" s="37"/>
      <c r="W315" s="37"/>
      <c r="X315" s="56"/>
      <c r="Y315" s="10"/>
      <c r="Z315" s="10"/>
    </row>
    <row r="316" spans="1:26" ht="10.199999999999999" x14ac:dyDescent="0.3">
      <c r="A316" s="17"/>
      <c r="B316" s="18"/>
      <c r="C316" s="95"/>
      <c r="D316" s="55"/>
      <c r="E316" s="131"/>
      <c r="F316" s="42"/>
      <c r="G316" s="20"/>
      <c r="H316" s="136"/>
      <c r="I316" s="23"/>
      <c r="J316" s="23"/>
      <c r="K316" s="23"/>
      <c r="L316" s="24"/>
      <c r="M316" s="24"/>
      <c r="N316" s="24"/>
      <c r="O316" s="24"/>
      <c r="P316" s="24"/>
      <c r="Q316" s="24"/>
      <c r="R316" s="24"/>
      <c r="S316" s="46" t="str">
        <f>IF(Project_Tracker[[#This Row],[Project Lead]]="", "", IFERROR(VLOOKUP(Project_Tracker[[#This Row],[Project Lead]], Setting!C:D, 2, 0), ""))</f>
        <v/>
      </c>
      <c r="T316" s="47"/>
      <c r="U316" s="37" t="str">
        <f>Project_Tracker[[#This Row],[Project Lead]]&amp;", "&amp;Project_Tracker[[#This Row],[Team Collaboration]]</f>
        <v xml:space="preserve">, </v>
      </c>
      <c r="V316" s="37"/>
      <c r="W316" s="37"/>
      <c r="X316" s="56"/>
      <c r="Y316" s="10"/>
      <c r="Z316" s="10"/>
    </row>
    <row r="317" spans="1:26" ht="10.199999999999999" x14ac:dyDescent="0.3">
      <c r="A317" s="17"/>
      <c r="B317" s="18"/>
      <c r="C317" s="95"/>
      <c r="D317" s="55"/>
      <c r="E317" s="131"/>
      <c r="F317" s="42"/>
      <c r="G317" s="20"/>
      <c r="H317" s="136"/>
      <c r="I317" s="23"/>
      <c r="J317" s="23"/>
      <c r="K317" s="23"/>
      <c r="L317" s="24"/>
      <c r="M317" s="24"/>
      <c r="N317" s="24"/>
      <c r="O317" s="24"/>
      <c r="P317" s="24"/>
      <c r="Q317" s="24"/>
      <c r="R317" s="24"/>
      <c r="S317" s="46" t="str">
        <f>IF(Project_Tracker[[#This Row],[Project Lead]]="", "", IFERROR(VLOOKUP(Project_Tracker[[#This Row],[Project Lead]], Setting!C:D, 2, 0), ""))</f>
        <v/>
      </c>
      <c r="T317" s="47"/>
      <c r="U317" s="37" t="str">
        <f>Project_Tracker[[#This Row],[Project Lead]]&amp;", "&amp;Project_Tracker[[#This Row],[Team Collaboration]]</f>
        <v xml:space="preserve">, </v>
      </c>
      <c r="V317" s="37"/>
      <c r="W317" s="37"/>
      <c r="X317" s="56"/>
      <c r="Y317" s="10"/>
      <c r="Z317" s="10"/>
    </row>
    <row r="318" spans="1:26" ht="10.199999999999999" x14ac:dyDescent="0.3">
      <c r="A318" s="17"/>
      <c r="B318" s="18"/>
      <c r="C318" s="95"/>
      <c r="D318" s="55"/>
      <c r="E318" s="131"/>
      <c r="F318" s="42"/>
      <c r="G318" s="20"/>
      <c r="H318" s="136"/>
      <c r="I318" s="23"/>
      <c r="J318" s="23"/>
      <c r="K318" s="23"/>
      <c r="L318" s="24"/>
      <c r="M318" s="24"/>
      <c r="N318" s="24"/>
      <c r="O318" s="24"/>
      <c r="P318" s="24"/>
      <c r="Q318" s="24"/>
      <c r="R318" s="24"/>
      <c r="S318" s="46" t="str">
        <f>IF(Project_Tracker[[#This Row],[Project Lead]]="", "", IFERROR(VLOOKUP(Project_Tracker[[#This Row],[Project Lead]], Setting!C:D, 2, 0), ""))</f>
        <v/>
      </c>
      <c r="T318" s="47"/>
      <c r="U318" s="37" t="str">
        <f>Project_Tracker[[#This Row],[Project Lead]]&amp;", "&amp;Project_Tracker[[#This Row],[Team Collaboration]]</f>
        <v xml:space="preserve">, </v>
      </c>
      <c r="V318" s="37"/>
      <c r="W318" s="37"/>
      <c r="X318" s="56"/>
      <c r="Y318" s="10"/>
      <c r="Z318" s="10"/>
    </row>
    <row r="319" spans="1:26" ht="10.199999999999999" x14ac:dyDescent="0.3">
      <c r="A319" s="17"/>
      <c r="B319" s="18"/>
      <c r="C319" s="95"/>
      <c r="D319" s="55"/>
      <c r="E319" s="131"/>
      <c r="F319" s="42"/>
      <c r="G319" s="20"/>
      <c r="H319" s="136"/>
      <c r="I319" s="23"/>
      <c r="J319" s="23"/>
      <c r="K319" s="23"/>
      <c r="L319" s="24"/>
      <c r="M319" s="24"/>
      <c r="N319" s="24"/>
      <c r="O319" s="24"/>
      <c r="P319" s="24"/>
      <c r="Q319" s="24"/>
      <c r="R319" s="24"/>
      <c r="S319" s="46" t="str">
        <f>IF(Project_Tracker[[#This Row],[Project Lead]]="", "", IFERROR(VLOOKUP(Project_Tracker[[#This Row],[Project Lead]], Setting!C:D, 2, 0), ""))</f>
        <v/>
      </c>
      <c r="T319" s="47"/>
      <c r="U319" s="37" t="str">
        <f>Project_Tracker[[#This Row],[Project Lead]]&amp;", "&amp;Project_Tracker[[#This Row],[Team Collaboration]]</f>
        <v xml:space="preserve">, </v>
      </c>
      <c r="V319" s="37"/>
      <c r="W319" s="37"/>
      <c r="X319" s="56"/>
      <c r="Y319" s="10"/>
      <c r="Z319" s="10"/>
    </row>
    <row r="320" spans="1:26" ht="10.199999999999999" x14ac:dyDescent="0.3">
      <c r="A320" s="17"/>
      <c r="B320" s="18"/>
      <c r="C320" s="95"/>
      <c r="D320" s="55"/>
      <c r="E320" s="131"/>
      <c r="F320" s="42"/>
      <c r="G320" s="20"/>
      <c r="H320" s="136"/>
      <c r="I320" s="23"/>
      <c r="J320" s="23"/>
      <c r="K320" s="23"/>
      <c r="L320" s="24"/>
      <c r="M320" s="24"/>
      <c r="N320" s="24"/>
      <c r="O320" s="24"/>
      <c r="P320" s="24"/>
      <c r="Q320" s="24"/>
      <c r="R320" s="24"/>
      <c r="S320" s="46" t="str">
        <f>IF(Project_Tracker[[#This Row],[Project Lead]]="", "", IFERROR(VLOOKUP(Project_Tracker[[#This Row],[Project Lead]], Setting!C:D, 2, 0), ""))</f>
        <v/>
      </c>
      <c r="T320" s="47"/>
      <c r="U320" s="37" t="str">
        <f>Project_Tracker[[#This Row],[Project Lead]]&amp;", "&amp;Project_Tracker[[#This Row],[Team Collaboration]]</f>
        <v xml:space="preserve">, </v>
      </c>
      <c r="V320" s="37"/>
      <c r="W320" s="37"/>
      <c r="X320" s="56"/>
      <c r="Y320" s="10"/>
      <c r="Z320" s="10"/>
    </row>
    <row r="321" spans="1:26" ht="10.199999999999999" x14ac:dyDescent="0.3">
      <c r="A321" s="17"/>
      <c r="B321" s="18"/>
      <c r="C321" s="95"/>
      <c r="D321" s="55"/>
      <c r="E321" s="131"/>
      <c r="F321" s="42"/>
      <c r="G321" s="20"/>
      <c r="H321" s="136"/>
      <c r="I321" s="23"/>
      <c r="J321" s="23"/>
      <c r="K321" s="23"/>
      <c r="L321" s="24"/>
      <c r="M321" s="24"/>
      <c r="N321" s="24"/>
      <c r="O321" s="24"/>
      <c r="P321" s="24"/>
      <c r="Q321" s="24"/>
      <c r="R321" s="24"/>
      <c r="S321" s="46" t="str">
        <f>IF(Project_Tracker[[#This Row],[Project Lead]]="", "", IFERROR(VLOOKUP(Project_Tracker[[#This Row],[Project Lead]], Setting!C:D, 2, 0), ""))</f>
        <v/>
      </c>
      <c r="T321" s="47"/>
      <c r="U321" s="37" t="str">
        <f>Project_Tracker[[#This Row],[Project Lead]]&amp;", "&amp;Project_Tracker[[#This Row],[Team Collaboration]]</f>
        <v xml:space="preserve">, </v>
      </c>
      <c r="V321" s="37"/>
      <c r="W321" s="37"/>
      <c r="X321" s="56"/>
      <c r="Y321" s="10"/>
      <c r="Z321" s="10"/>
    </row>
    <row r="322" spans="1:26" ht="10.199999999999999" x14ac:dyDescent="0.3">
      <c r="A322" s="17"/>
      <c r="B322" s="18"/>
      <c r="C322" s="95"/>
      <c r="D322" s="55"/>
      <c r="E322" s="131"/>
      <c r="F322" s="42"/>
      <c r="G322" s="20"/>
      <c r="H322" s="136"/>
      <c r="I322" s="23"/>
      <c r="J322" s="23"/>
      <c r="K322" s="23"/>
      <c r="L322" s="24"/>
      <c r="M322" s="24"/>
      <c r="N322" s="24"/>
      <c r="O322" s="24"/>
      <c r="P322" s="24"/>
      <c r="Q322" s="24"/>
      <c r="R322" s="24"/>
      <c r="S322" s="46" t="str">
        <f>IF(Project_Tracker[[#This Row],[Project Lead]]="", "", IFERROR(VLOOKUP(Project_Tracker[[#This Row],[Project Lead]], Setting!C:D, 2, 0), ""))</f>
        <v/>
      </c>
      <c r="T322" s="47"/>
      <c r="U322" s="37" t="str">
        <f>Project_Tracker[[#This Row],[Project Lead]]&amp;", "&amp;Project_Tracker[[#This Row],[Team Collaboration]]</f>
        <v xml:space="preserve">, </v>
      </c>
      <c r="V322" s="37"/>
      <c r="W322" s="37"/>
      <c r="X322" s="56"/>
      <c r="Y322" s="10"/>
      <c r="Z322" s="10"/>
    </row>
    <row r="323" spans="1:26" ht="10.199999999999999" x14ac:dyDescent="0.3">
      <c r="A323" s="17"/>
      <c r="B323" s="18"/>
      <c r="C323" s="95"/>
      <c r="D323" s="55"/>
      <c r="E323" s="131"/>
      <c r="F323" s="42"/>
      <c r="G323" s="20"/>
      <c r="H323" s="136"/>
      <c r="I323" s="23"/>
      <c r="J323" s="23"/>
      <c r="K323" s="23"/>
      <c r="L323" s="24"/>
      <c r="M323" s="24"/>
      <c r="N323" s="24"/>
      <c r="O323" s="24"/>
      <c r="P323" s="24"/>
      <c r="Q323" s="24"/>
      <c r="R323" s="24"/>
      <c r="S323" s="46" t="str">
        <f>IF(Project_Tracker[[#This Row],[Project Lead]]="", "", IFERROR(VLOOKUP(Project_Tracker[[#This Row],[Project Lead]], Setting!C:D, 2, 0), ""))</f>
        <v/>
      </c>
      <c r="T323" s="47"/>
      <c r="U323" s="37" t="str">
        <f>Project_Tracker[[#This Row],[Project Lead]]&amp;", "&amp;Project_Tracker[[#This Row],[Team Collaboration]]</f>
        <v xml:space="preserve">, </v>
      </c>
      <c r="V323" s="37"/>
      <c r="W323" s="37"/>
      <c r="X323" s="56"/>
      <c r="Y323" s="10"/>
      <c r="Z323" s="10"/>
    </row>
    <row r="324" spans="1:26" ht="10.199999999999999" x14ac:dyDescent="0.3">
      <c r="A324" s="17"/>
      <c r="B324" s="18"/>
      <c r="C324" s="95"/>
      <c r="D324" s="55"/>
      <c r="E324" s="131"/>
      <c r="F324" s="42"/>
      <c r="G324" s="20"/>
      <c r="H324" s="136"/>
      <c r="I324" s="23"/>
      <c r="J324" s="23"/>
      <c r="K324" s="23"/>
      <c r="L324" s="24"/>
      <c r="M324" s="24"/>
      <c r="N324" s="24"/>
      <c r="O324" s="24"/>
      <c r="P324" s="24"/>
      <c r="Q324" s="24"/>
      <c r="R324" s="24"/>
      <c r="S324" s="46" t="str">
        <f>IF(Project_Tracker[[#This Row],[Project Lead]]="", "", IFERROR(VLOOKUP(Project_Tracker[[#This Row],[Project Lead]], Setting!C:D, 2, 0), ""))</f>
        <v/>
      </c>
      <c r="T324" s="47"/>
      <c r="U324" s="37" t="str">
        <f>Project_Tracker[[#This Row],[Project Lead]]&amp;", "&amp;Project_Tracker[[#This Row],[Team Collaboration]]</f>
        <v xml:space="preserve">, </v>
      </c>
      <c r="V324" s="37"/>
      <c r="W324" s="37"/>
      <c r="X324" s="56"/>
      <c r="Y324" s="10"/>
      <c r="Z324" s="10"/>
    </row>
    <row r="325" spans="1:26" ht="10.199999999999999" x14ac:dyDescent="0.3">
      <c r="A325" s="17"/>
      <c r="B325" s="18"/>
      <c r="C325" s="95"/>
      <c r="D325" s="55"/>
      <c r="E325" s="131"/>
      <c r="F325" s="42"/>
      <c r="G325" s="20"/>
      <c r="H325" s="136"/>
      <c r="I325" s="23"/>
      <c r="J325" s="23"/>
      <c r="K325" s="23"/>
      <c r="L325" s="24"/>
      <c r="M325" s="24"/>
      <c r="N325" s="24"/>
      <c r="O325" s="24"/>
      <c r="P325" s="24"/>
      <c r="Q325" s="24"/>
      <c r="R325" s="24"/>
      <c r="S325" s="46" t="str">
        <f>IF(Project_Tracker[[#This Row],[Project Lead]]="", "", IFERROR(VLOOKUP(Project_Tracker[[#This Row],[Project Lead]], Setting!C:D, 2, 0), ""))</f>
        <v/>
      </c>
      <c r="T325" s="47"/>
      <c r="U325" s="37" t="str">
        <f>Project_Tracker[[#This Row],[Project Lead]]&amp;", "&amp;Project_Tracker[[#This Row],[Team Collaboration]]</f>
        <v xml:space="preserve">, </v>
      </c>
      <c r="V325" s="37"/>
      <c r="W325" s="37"/>
      <c r="X325" s="56"/>
      <c r="Y325" s="10"/>
      <c r="Z325" s="10"/>
    </row>
    <row r="326" spans="1:26" ht="10.199999999999999" x14ac:dyDescent="0.3">
      <c r="A326" s="17"/>
      <c r="B326" s="18"/>
      <c r="C326" s="95"/>
      <c r="D326" s="55"/>
      <c r="E326" s="131"/>
      <c r="F326" s="42"/>
      <c r="G326" s="20"/>
      <c r="H326" s="136"/>
      <c r="I326" s="23"/>
      <c r="J326" s="23"/>
      <c r="K326" s="23"/>
      <c r="L326" s="24"/>
      <c r="M326" s="24"/>
      <c r="N326" s="24"/>
      <c r="O326" s="24"/>
      <c r="P326" s="24"/>
      <c r="Q326" s="24"/>
      <c r="R326" s="24"/>
      <c r="S326" s="46" t="str">
        <f>IF(Project_Tracker[[#This Row],[Project Lead]]="", "", IFERROR(VLOOKUP(Project_Tracker[[#This Row],[Project Lead]], Setting!C:D, 2, 0), ""))</f>
        <v/>
      </c>
      <c r="T326" s="47"/>
      <c r="U326" s="37" t="str">
        <f>Project_Tracker[[#This Row],[Project Lead]]&amp;", "&amp;Project_Tracker[[#This Row],[Team Collaboration]]</f>
        <v xml:space="preserve">, </v>
      </c>
      <c r="V326" s="37"/>
      <c r="W326" s="37"/>
      <c r="X326" s="56"/>
      <c r="Y326" s="10"/>
      <c r="Z326" s="10"/>
    </row>
    <row r="327" spans="1:26" ht="10.199999999999999" x14ac:dyDescent="0.3">
      <c r="A327" s="17"/>
      <c r="B327" s="18"/>
      <c r="C327" s="95"/>
      <c r="D327" s="55"/>
      <c r="E327" s="131"/>
      <c r="F327" s="42"/>
      <c r="G327" s="20"/>
      <c r="H327" s="136"/>
      <c r="I327" s="23"/>
      <c r="J327" s="23"/>
      <c r="K327" s="23"/>
      <c r="L327" s="24"/>
      <c r="M327" s="24"/>
      <c r="N327" s="24"/>
      <c r="O327" s="24"/>
      <c r="P327" s="24"/>
      <c r="Q327" s="24"/>
      <c r="R327" s="24"/>
      <c r="S327" s="46" t="str">
        <f>IF(Project_Tracker[[#This Row],[Project Lead]]="", "", IFERROR(VLOOKUP(Project_Tracker[[#This Row],[Project Lead]], Setting!C:D, 2, 0), ""))</f>
        <v/>
      </c>
      <c r="T327" s="47"/>
      <c r="U327" s="37" t="str">
        <f>Project_Tracker[[#This Row],[Project Lead]]&amp;", "&amp;Project_Tracker[[#This Row],[Team Collaboration]]</f>
        <v xml:space="preserve">, </v>
      </c>
      <c r="V327" s="37"/>
      <c r="W327" s="37"/>
      <c r="X327" s="56"/>
      <c r="Y327" s="10"/>
      <c r="Z327" s="10"/>
    </row>
    <row r="328" spans="1:26" ht="10.199999999999999" x14ac:dyDescent="0.3">
      <c r="A328" s="17"/>
      <c r="B328" s="18"/>
      <c r="C328" s="95"/>
      <c r="D328" s="55"/>
      <c r="E328" s="131"/>
      <c r="F328" s="42"/>
      <c r="G328" s="20"/>
      <c r="H328" s="136"/>
      <c r="I328" s="23"/>
      <c r="J328" s="23"/>
      <c r="K328" s="23"/>
      <c r="L328" s="24"/>
      <c r="M328" s="24"/>
      <c r="N328" s="24"/>
      <c r="O328" s="24"/>
      <c r="P328" s="24"/>
      <c r="Q328" s="24"/>
      <c r="R328" s="24"/>
      <c r="S328" s="46" t="str">
        <f>IF(Project_Tracker[[#This Row],[Project Lead]]="", "", IFERROR(VLOOKUP(Project_Tracker[[#This Row],[Project Lead]], Setting!C:D, 2, 0), ""))</f>
        <v/>
      </c>
      <c r="T328" s="47"/>
      <c r="U328" s="37" t="str">
        <f>Project_Tracker[[#This Row],[Project Lead]]&amp;", "&amp;Project_Tracker[[#This Row],[Team Collaboration]]</f>
        <v xml:space="preserve">, </v>
      </c>
      <c r="V328" s="37"/>
      <c r="W328" s="37"/>
      <c r="X328" s="56"/>
      <c r="Y328" s="10"/>
      <c r="Z328" s="10"/>
    </row>
    <row r="329" spans="1:26" ht="10.199999999999999" x14ac:dyDescent="0.3">
      <c r="A329" s="17"/>
      <c r="B329" s="18"/>
      <c r="C329" s="95"/>
      <c r="D329" s="55"/>
      <c r="E329" s="131"/>
      <c r="F329" s="42"/>
      <c r="G329" s="20"/>
      <c r="H329" s="136"/>
      <c r="I329" s="23"/>
      <c r="J329" s="23"/>
      <c r="K329" s="23"/>
      <c r="L329" s="24"/>
      <c r="M329" s="24"/>
      <c r="N329" s="24"/>
      <c r="O329" s="24"/>
      <c r="P329" s="24"/>
      <c r="Q329" s="24"/>
      <c r="R329" s="24"/>
      <c r="S329" s="46" t="str">
        <f>IF(Project_Tracker[[#This Row],[Project Lead]]="", "", IFERROR(VLOOKUP(Project_Tracker[[#This Row],[Project Lead]], Setting!C:D, 2, 0), ""))</f>
        <v/>
      </c>
      <c r="T329" s="47"/>
      <c r="U329" s="37" t="str">
        <f>Project_Tracker[[#This Row],[Project Lead]]&amp;", "&amp;Project_Tracker[[#This Row],[Team Collaboration]]</f>
        <v xml:space="preserve">, </v>
      </c>
      <c r="V329" s="37"/>
      <c r="W329" s="37"/>
      <c r="X329" s="56"/>
      <c r="Y329" s="10"/>
      <c r="Z329" s="10"/>
    </row>
    <row r="330" spans="1:26" ht="10.199999999999999" x14ac:dyDescent="0.3">
      <c r="A330" s="17"/>
      <c r="B330" s="18"/>
      <c r="C330" s="95"/>
      <c r="D330" s="55"/>
      <c r="E330" s="131"/>
      <c r="F330" s="42"/>
      <c r="G330" s="20"/>
      <c r="H330" s="136"/>
      <c r="I330" s="23"/>
      <c r="J330" s="23"/>
      <c r="K330" s="23"/>
      <c r="L330" s="24"/>
      <c r="M330" s="24"/>
      <c r="N330" s="24"/>
      <c r="O330" s="24"/>
      <c r="P330" s="24"/>
      <c r="Q330" s="24"/>
      <c r="R330" s="24"/>
      <c r="S330" s="46" t="str">
        <f>IF(Project_Tracker[[#This Row],[Project Lead]]="", "", IFERROR(VLOOKUP(Project_Tracker[[#This Row],[Project Lead]], Setting!C:D, 2, 0), ""))</f>
        <v/>
      </c>
      <c r="T330" s="47"/>
      <c r="U330" s="37" t="str">
        <f>Project_Tracker[[#This Row],[Project Lead]]&amp;", "&amp;Project_Tracker[[#This Row],[Team Collaboration]]</f>
        <v xml:space="preserve">, </v>
      </c>
      <c r="V330" s="37"/>
      <c r="W330" s="37"/>
      <c r="X330" s="56"/>
      <c r="Y330" s="10"/>
      <c r="Z330" s="10"/>
    </row>
    <row r="331" spans="1:26" ht="10.199999999999999" x14ac:dyDescent="0.3">
      <c r="A331" s="17"/>
      <c r="B331" s="18"/>
      <c r="C331" s="95"/>
      <c r="D331" s="55"/>
      <c r="E331" s="131"/>
      <c r="F331" s="42"/>
      <c r="G331" s="20"/>
      <c r="H331" s="136"/>
      <c r="I331" s="23"/>
      <c r="J331" s="23"/>
      <c r="K331" s="23"/>
      <c r="L331" s="24"/>
      <c r="M331" s="24"/>
      <c r="N331" s="24"/>
      <c r="O331" s="24"/>
      <c r="P331" s="24"/>
      <c r="Q331" s="24"/>
      <c r="R331" s="24"/>
      <c r="S331" s="46" t="str">
        <f>IF(Project_Tracker[[#This Row],[Project Lead]]="", "", IFERROR(VLOOKUP(Project_Tracker[[#This Row],[Project Lead]], Setting!C:D, 2, 0), ""))</f>
        <v/>
      </c>
      <c r="T331" s="47"/>
      <c r="U331" s="37" t="str">
        <f>Project_Tracker[[#This Row],[Project Lead]]&amp;", "&amp;Project_Tracker[[#This Row],[Team Collaboration]]</f>
        <v xml:space="preserve">, </v>
      </c>
      <c r="V331" s="37"/>
      <c r="W331" s="37"/>
      <c r="X331" s="56"/>
      <c r="Y331" s="10"/>
      <c r="Z331" s="10"/>
    </row>
    <row r="332" spans="1:26" ht="10.199999999999999" x14ac:dyDescent="0.3">
      <c r="A332" s="17"/>
      <c r="B332" s="18"/>
      <c r="C332" s="95"/>
      <c r="D332" s="55"/>
      <c r="E332" s="131"/>
      <c r="F332" s="42"/>
      <c r="G332" s="20"/>
      <c r="H332" s="136"/>
      <c r="I332" s="23"/>
      <c r="J332" s="23"/>
      <c r="K332" s="23"/>
      <c r="L332" s="24"/>
      <c r="M332" s="24"/>
      <c r="N332" s="24"/>
      <c r="O332" s="24"/>
      <c r="P332" s="24"/>
      <c r="Q332" s="24"/>
      <c r="R332" s="24"/>
      <c r="S332" s="46" t="str">
        <f>IF(Project_Tracker[[#This Row],[Project Lead]]="", "", IFERROR(VLOOKUP(Project_Tracker[[#This Row],[Project Lead]], Setting!C:D, 2, 0), ""))</f>
        <v/>
      </c>
      <c r="T332" s="47"/>
      <c r="U332" s="37" t="str">
        <f>Project_Tracker[[#This Row],[Project Lead]]&amp;", "&amp;Project_Tracker[[#This Row],[Team Collaboration]]</f>
        <v xml:space="preserve">, </v>
      </c>
      <c r="V332" s="37"/>
      <c r="W332" s="37"/>
      <c r="X332" s="56"/>
      <c r="Y332" s="10"/>
      <c r="Z332" s="10"/>
    </row>
    <row r="333" spans="1:26" ht="10.199999999999999" x14ac:dyDescent="0.3">
      <c r="A333" s="17"/>
      <c r="B333" s="18"/>
      <c r="C333" s="95"/>
      <c r="D333" s="55"/>
      <c r="E333" s="131"/>
      <c r="F333" s="42"/>
      <c r="G333" s="20"/>
      <c r="H333" s="136"/>
      <c r="I333" s="23"/>
      <c r="J333" s="23"/>
      <c r="K333" s="23"/>
      <c r="L333" s="24"/>
      <c r="M333" s="24"/>
      <c r="N333" s="24"/>
      <c r="O333" s="24"/>
      <c r="P333" s="24"/>
      <c r="Q333" s="24"/>
      <c r="R333" s="24"/>
      <c r="S333" s="46" t="str">
        <f>IF(Project_Tracker[[#This Row],[Project Lead]]="", "", IFERROR(VLOOKUP(Project_Tracker[[#This Row],[Project Lead]], Setting!C:D, 2, 0), ""))</f>
        <v/>
      </c>
      <c r="T333" s="47"/>
      <c r="U333" s="37" t="str">
        <f>Project_Tracker[[#This Row],[Project Lead]]&amp;", "&amp;Project_Tracker[[#This Row],[Team Collaboration]]</f>
        <v xml:space="preserve">, </v>
      </c>
      <c r="V333" s="37"/>
      <c r="W333" s="37"/>
      <c r="X333" s="56"/>
      <c r="Y333" s="10"/>
      <c r="Z333" s="10"/>
    </row>
    <row r="334" spans="1:26" ht="10.199999999999999" x14ac:dyDescent="0.3">
      <c r="A334" s="17"/>
      <c r="B334" s="18"/>
      <c r="C334" s="95"/>
      <c r="D334" s="55"/>
      <c r="E334" s="131"/>
      <c r="F334" s="42"/>
      <c r="G334" s="20"/>
      <c r="H334" s="136"/>
      <c r="I334" s="23"/>
      <c r="J334" s="23"/>
      <c r="K334" s="23"/>
      <c r="L334" s="24"/>
      <c r="M334" s="24"/>
      <c r="N334" s="24"/>
      <c r="O334" s="24"/>
      <c r="P334" s="24"/>
      <c r="Q334" s="24"/>
      <c r="R334" s="24"/>
      <c r="S334" s="46" t="str">
        <f>IF(Project_Tracker[[#This Row],[Project Lead]]="", "", IFERROR(VLOOKUP(Project_Tracker[[#This Row],[Project Lead]], Setting!C:D, 2, 0), ""))</f>
        <v/>
      </c>
      <c r="T334" s="47"/>
      <c r="U334" s="37" t="str">
        <f>Project_Tracker[[#This Row],[Project Lead]]&amp;", "&amp;Project_Tracker[[#This Row],[Team Collaboration]]</f>
        <v xml:space="preserve">, </v>
      </c>
      <c r="V334" s="37"/>
      <c r="W334" s="37"/>
      <c r="X334" s="56"/>
      <c r="Y334" s="10"/>
      <c r="Z334" s="10"/>
    </row>
    <row r="335" spans="1:26" ht="10.199999999999999" x14ac:dyDescent="0.3">
      <c r="A335" s="17"/>
      <c r="B335" s="18"/>
      <c r="C335" s="95"/>
      <c r="D335" s="55"/>
      <c r="E335" s="131"/>
      <c r="F335" s="42"/>
      <c r="G335" s="20"/>
      <c r="H335" s="136"/>
      <c r="I335" s="23"/>
      <c r="J335" s="23"/>
      <c r="K335" s="23"/>
      <c r="L335" s="24"/>
      <c r="M335" s="24"/>
      <c r="N335" s="24"/>
      <c r="O335" s="24"/>
      <c r="P335" s="24"/>
      <c r="Q335" s="24"/>
      <c r="R335" s="24"/>
      <c r="S335" s="46" t="str">
        <f>IF(Project_Tracker[[#This Row],[Project Lead]]="", "", IFERROR(VLOOKUP(Project_Tracker[[#This Row],[Project Lead]], Setting!C:D, 2, 0), ""))</f>
        <v/>
      </c>
      <c r="T335" s="47"/>
      <c r="U335" s="37" t="str">
        <f>Project_Tracker[[#This Row],[Project Lead]]&amp;", "&amp;Project_Tracker[[#This Row],[Team Collaboration]]</f>
        <v xml:space="preserve">, </v>
      </c>
      <c r="V335" s="37"/>
      <c r="W335" s="37"/>
      <c r="X335" s="56"/>
      <c r="Y335" s="10"/>
      <c r="Z335" s="10"/>
    </row>
    <row r="336" spans="1:26" ht="10.199999999999999" x14ac:dyDescent="0.3">
      <c r="A336" s="17"/>
      <c r="B336" s="18"/>
      <c r="C336" s="95"/>
      <c r="D336" s="55"/>
      <c r="E336" s="131"/>
      <c r="F336" s="42"/>
      <c r="G336" s="20"/>
      <c r="H336" s="136"/>
      <c r="I336" s="23"/>
      <c r="J336" s="23"/>
      <c r="K336" s="23"/>
      <c r="L336" s="24"/>
      <c r="M336" s="24"/>
      <c r="N336" s="24"/>
      <c r="O336" s="24"/>
      <c r="P336" s="24"/>
      <c r="Q336" s="24"/>
      <c r="R336" s="24"/>
      <c r="S336" s="46" t="str">
        <f>IF(Project_Tracker[[#This Row],[Project Lead]]="", "", IFERROR(VLOOKUP(Project_Tracker[[#This Row],[Project Lead]], Setting!C:D, 2, 0), ""))</f>
        <v/>
      </c>
      <c r="T336" s="47"/>
      <c r="U336" s="37" t="str">
        <f>Project_Tracker[[#This Row],[Project Lead]]&amp;", "&amp;Project_Tracker[[#This Row],[Team Collaboration]]</f>
        <v xml:space="preserve">, </v>
      </c>
      <c r="V336" s="37"/>
      <c r="W336" s="37"/>
      <c r="X336" s="56"/>
      <c r="Y336" s="10"/>
      <c r="Z336" s="10"/>
    </row>
    <row r="337" spans="1:26" ht="10.199999999999999" x14ac:dyDescent="0.3">
      <c r="A337" s="17"/>
      <c r="B337" s="18"/>
      <c r="C337" s="95"/>
      <c r="D337" s="55"/>
      <c r="E337" s="131"/>
      <c r="F337" s="42"/>
      <c r="G337" s="20"/>
      <c r="H337" s="136"/>
      <c r="I337" s="23"/>
      <c r="J337" s="23"/>
      <c r="K337" s="23"/>
      <c r="L337" s="24"/>
      <c r="M337" s="24"/>
      <c r="N337" s="24"/>
      <c r="O337" s="24"/>
      <c r="P337" s="24"/>
      <c r="Q337" s="24"/>
      <c r="R337" s="24"/>
      <c r="S337" s="46" t="str">
        <f>IF(Project_Tracker[[#This Row],[Project Lead]]="", "", IFERROR(VLOOKUP(Project_Tracker[[#This Row],[Project Lead]], Setting!C:D, 2, 0), ""))</f>
        <v/>
      </c>
      <c r="T337" s="47"/>
      <c r="U337" s="37" t="str">
        <f>Project_Tracker[[#This Row],[Project Lead]]&amp;", "&amp;Project_Tracker[[#This Row],[Team Collaboration]]</f>
        <v xml:space="preserve">, </v>
      </c>
      <c r="V337" s="37"/>
      <c r="W337" s="37"/>
      <c r="X337" s="56"/>
      <c r="Y337" s="10"/>
      <c r="Z337" s="10"/>
    </row>
    <row r="338" spans="1:26" ht="10.199999999999999" x14ac:dyDescent="0.3">
      <c r="A338" s="17"/>
      <c r="B338" s="18"/>
      <c r="C338" s="95"/>
      <c r="D338" s="55"/>
      <c r="E338" s="131"/>
      <c r="F338" s="42"/>
      <c r="G338" s="20"/>
      <c r="H338" s="136"/>
      <c r="I338" s="23"/>
      <c r="J338" s="23"/>
      <c r="K338" s="23"/>
      <c r="L338" s="24"/>
      <c r="M338" s="24"/>
      <c r="N338" s="24"/>
      <c r="O338" s="24"/>
      <c r="P338" s="24"/>
      <c r="Q338" s="24"/>
      <c r="R338" s="24"/>
      <c r="S338" s="46" t="str">
        <f>IF(Project_Tracker[[#This Row],[Project Lead]]="", "", IFERROR(VLOOKUP(Project_Tracker[[#This Row],[Project Lead]], Setting!C:D, 2, 0), ""))</f>
        <v/>
      </c>
      <c r="T338" s="47"/>
      <c r="U338" s="37" t="str">
        <f>Project_Tracker[[#This Row],[Project Lead]]&amp;", "&amp;Project_Tracker[[#This Row],[Team Collaboration]]</f>
        <v xml:space="preserve">, </v>
      </c>
      <c r="V338" s="37"/>
      <c r="W338" s="37"/>
      <c r="X338" s="56"/>
      <c r="Y338" s="10"/>
      <c r="Z338" s="10"/>
    </row>
    <row r="339" spans="1:26" ht="10.199999999999999" x14ac:dyDescent="0.3">
      <c r="A339" s="17"/>
      <c r="B339" s="18"/>
      <c r="C339" s="95"/>
      <c r="D339" s="55"/>
      <c r="E339" s="131"/>
      <c r="F339" s="42"/>
      <c r="G339" s="20"/>
      <c r="H339" s="136"/>
      <c r="I339" s="23"/>
      <c r="J339" s="23"/>
      <c r="K339" s="23"/>
      <c r="L339" s="24"/>
      <c r="M339" s="24"/>
      <c r="N339" s="24"/>
      <c r="O339" s="24"/>
      <c r="P339" s="24"/>
      <c r="Q339" s="24"/>
      <c r="R339" s="24"/>
      <c r="S339" s="46" t="str">
        <f>IF(Project_Tracker[[#This Row],[Project Lead]]="", "", IFERROR(VLOOKUP(Project_Tracker[[#This Row],[Project Lead]], Setting!C:D, 2, 0), ""))</f>
        <v/>
      </c>
      <c r="T339" s="47"/>
      <c r="U339" s="37" t="str">
        <f>Project_Tracker[[#This Row],[Project Lead]]&amp;", "&amp;Project_Tracker[[#This Row],[Team Collaboration]]</f>
        <v xml:space="preserve">, </v>
      </c>
      <c r="V339" s="37"/>
      <c r="W339" s="37"/>
      <c r="X339" s="56"/>
      <c r="Y339" s="10"/>
      <c r="Z339" s="10"/>
    </row>
    <row r="340" spans="1:26" ht="10.199999999999999" x14ac:dyDescent="0.3">
      <c r="A340" s="17"/>
      <c r="B340" s="18"/>
      <c r="C340" s="95"/>
      <c r="D340" s="55"/>
      <c r="E340" s="131"/>
      <c r="F340" s="42"/>
      <c r="G340" s="20"/>
      <c r="H340" s="136"/>
      <c r="I340" s="23"/>
      <c r="J340" s="23"/>
      <c r="K340" s="23"/>
      <c r="L340" s="24"/>
      <c r="M340" s="24"/>
      <c r="N340" s="24"/>
      <c r="O340" s="24"/>
      <c r="P340" s="24"/>
      <c r="Q340" s="24"/>
      <c r="R340" s="24"/>
      <c r="S340" s="46" t="str">
        <f>IF(Project_Tracker[[#This Row],[Project Lead]]="", "", IFERROR(VLOOKUP(Project_Tracker[[#This Row],[Project Lead]], Setting!C:D, 2, 0), ""))</f>
        <v/>
      </c>
      <c r="T340" s="47"/>
      <c r="U340" s="37" t="str">
        <f>Project_Tracker[[#This Row],[Project Lead]]&amp;", "&amp;Project_Tracker[[#This Row],[Team Collaboration]]</f>
        <v xml:space="preserve">, </v>
      </c>
      <c r="V340" s="37"/>
      <c r="W340" s="37"/>
      <c r="X340" s="56"/>
      <c r="Y340" s="10"/>
      <c r="Z340" s="10"/>
    </row>
    <row r="341" spans="1:26" ht="10.199999999999999" x14ac:dyDescent="0.3">
      <c r="A341" s="17"/>
      <c r="B341" s="18"/>
      <c r="C341" s="95"/>
      <c r="D341" s="55"/>
      <c r="E341" s="131"/>
      <c r="F341" s="42"/>
      <c r="G341" s="20"/>
      <c r="H341" s="136"/>
      <c r="I341" s="23"/>
      <c r="J341" s="23"/>
      <c r="K341" s="23"/>
      <c r="L341" s="24"/>
      <c r="M341" s="24"/>
      <c r="N341" s="24"/>
      <c r="O341" s="24"/>
      <c r="P341" s="24"/>
      <c r="Q341" s="24"/>
      <c r="R341" s="24"/>
      <c r="S341" s="46" t="str">
        <f>IF(Project_Tracker[[#This Row],[Project Lead]]="", "", IFERROR(VLOOKUP(Project_Tracker[[#This Row],[Project Lead]], Setting!C:D, 2, 0), ""))</f>
        <v/>
      </c>
      <c r="T341" s="47"/>
      <c r="U341" s="37" t="str">
        <f>Project_Tracker[[#This Row],[Project Lead]]&amp;", "&amp;Project_Tracker[[#This Row],[Team Collaboration]]</f>
        <v xml:space="preserve">, </v>
      </c>
      <c r="V341" s="37"/>
      <c r="W341" s="37"/>
      <c r="X341" s="56"/>
      <c r="Y341" s="10"/>
      <c r="Z341" s="10"/>
    </row>
    <row r="342" spans="1:26" ht="10.199999999999999" x14ac:dyDescent="0.3">
      <c r="A342" s="17"/>
      <c r="B342" s="18"/>
      <c r="C342" s="95"/>
      <c r="D342" s="55"/>
      <c r="E342" s="131"/>
      <c r="F342" s="42"/>
      <c r="G342" s="20"/>
      <c r="H342" s="136"/>
      <c r="I342" s="23"/>
      <c r="J342" s="23"/>
      <c r="K342" s="23"/>
      <c r="L342" s="24"/>
      <c r="M342" s="24"/>
      <c r="N342" s="24"/>
      <c r="O342" s="24"/>
      <c r="P342" s="24"/>
      <c r="Q342" s="24"/>
      <c r="R342" s="24"/>
      <c r="S342" s="46" t="str">
        <f>IF(Project_Tracker[[#This Row],[Project Lead]]="", "", IFERROR(VLOOKUP(Project_Tracker[[#This Row],[Project Lead]], Setting!C:D, 2, 0), ""))</f>
        <v/>
      </c>
      <c r="T342" s="47"/>
      <c r="U342" s="37" t="str">
        <f>Project_Tracker[[#This Row],[Project Lead]]&amp;", "&amp;Project_Tracker[[#This Row],[Team Collaboration]]</f>
        <v xml:space="preserve">, </v>
      </c>
      <c r="V342" s="37"/>
      <c r="W342" s="37"/>
      <c r="X342" s="56"/>
      <c r="Y342" s="10"/>
      <c r="Z342" s="10"/>
    </row>
    <row r="343" spans="1:26" ht="10.199999999999999" x14ac:dyDescent="0.3">
      <c r="A343" s="17"/>
      <c r="B343" s="18"/>
      <c r="C343" s="95"/>
      <c r="D343" s="55"/>
      <c r="E343" s="131"/>
      <c r="F343" s="42"/>
      <c r="G343" s="20"/>
      <c r="H343" s="136"/>
      <c r="I343" s="23"/>
      <c r="J343" s="23"/>
      <c r="K343" s="23"/>
      <c r="L343" s="24"/>
      <c r="M343" s="24"/>
      <c r="N343" s="24"/>
      <c r="O343" s="24"/>
      <c r="P343" s="24"/>
      <c r="Q343" s="24"/>
      <c r="R343" s="24"/>
      <c r="S343" s="46" t="str">
        <f>IF(Project_Tracker[[#This Row],[Project Lead]]="", "", IFERROR(VLOOKUP(Project_Tracker[[#This Row],[Project Lead]], Setting!C:D, 2, 0), ""))</f>
        <v/>
      </c>
      <c r="T343" s="47"/>
      <c r="U343" s="37" t="str">
        <f>Project_Tracker[[#This Row],[Project Lead]]&amp;", "&amp;Project_Tracker[[#This Row],[Team Collaboration]]</f>
        <v xml:space="preserve">, </v>
      </c>
      <c r="V343" s="37"/>
      <c r="W343" s="37"/>
      <c r="X343" s="56"/>
      <c r="Y343" s="10"/>
      <c r="Z343" s="10"/>
    </row>
    <row r="344" spans="1:26" ht="10.199999999999999" x14ac:dyDescent="0.3">
      <c r="A344" s="17"/>
      <c r="B344" s="18"/>
      <c r="C344" s="95"/>
      <c r="D344" s="55"/>
      <c r="E344" s="131"/>
      <c r="F344" s="42"/>
      <c r="G344" s="20"/>
      <c r="H344" s="136"/>
      <c r="I344" s="23"/>
      <c r="J344" s="23"/>
      <c r="K344" s="23"/>
      <c r="L344" s="24"/>
      <c r="M344" s="24"/>
      <c r="N344" s="24"/>
      <c r="O344" s="24"/>
      <c r="P344" s="24"/>
      <c r="Q344" s="24"/>
      <c r="R344" s="24"/>
      <c r="S344" s="46" t="str">
        <f>IF(Project_Tracker[[#This Row],[Project Lead]]="", "", IFERROR(VLOOKUP(Project_Tracker[[#This Row],[Project Lead]], Setting!C:D, 2, 0), ""))</f>
        <v/>
      </c>
      <c r="T344" s="47"/>
      <c r="U344" s="37" t="str">
        <f>Project_Tracker[[#This Row],[Project Lead]]&amp;", "&amp;Project_Tracker[[#This Row],[Team Collaboration]]</f>
        <v xml:space="preserve">, </v>
      </c>
      <c r="V344" s="37"/>
      <c r="W344" s="37"/>
      <c r="X344" s="56"/>
      <c r="Y344" s="10"/>
      <c r="Z344" s="10"/>
    </row>
    <row r="345" spans="1:26" ht="10.199999999999999" x14ac:dyDescent="0.3">
      <c r="A345" s="17"/>
      <c r="B345" s="18"/>
      <c r="C345" s="95"/>
      <c r="D345" s="55"/>
      <c r="E345" s="131"/>
      <c r="F345" s="42"/>
      <c r="G345" s="20"/>
      <c r="H345" s="136"/>
      <c r="I345" s="23"/>
      <c r="J345" s="23"/>
      <c r="K345" s="23"/>
      <c r="L345" s="24"/>
      <c r="M345" s="24"/>
      <c r="N345" s="24"/>
      <c r="O345" s="24"/>
      <c r="P345" s="24"/>
      <c r="Q345" s="24"/>
      <c r="R345" s="24"/>
      <c r="S345" s="46" t="str">
        <f>IF(Project_Tracker[[#This Row],[Project Lead]]="", "", IFERROR(VLOOKUP(Project_Tracker[[#This Row],[Project Lead]], Setting!C:D, 2, 0), ""))</f>
        <v/>
      </c>
      <c r="T345" s="47"/>
      <c r="U345" s="37" t="str">
        <f>Project_Tracker[[#This Row],[Project Lead]]&amp;", "&amp;Project_Tracker[[#This Row],[Team Collaboration]]</f>
        <v xml:space="preserve">, </v>
      </c>
      <c r="V345" s="37"/>
      <c r="W345" s="37"/>
      <c r="X345" s="56"/>
      <c r="Y345" s="10"/>
      <c r="Z345" s="10"/>
    </row>
    <row r="346" spans="1:26" ht="10.199999999999999" x14ac:dyDescent="0.3">
      <c r="A346" s="17"/>
      <c r="B346" s="18"/>
      <c r="C346" s="95"/>
      <c r="D346" s="55"/>
      <c r="E346" s="131"/>
      <c r="F346" s="42"/>
      <c r="G346" s="20"/>
      <c r="H346" s="136"/>
      <c r="I346" s="23"/>
      <c r="J346" s="23"/>
      <c r="K346" s="23"/>
      <c r="L346" s="24"/>
      <c r="M346" s="24"/>
      <c r="N346" s="24"/>
      <c r="O346" s="24"/>
      <c r="P346" s="24"/>
      <c r="Q346" s="24"/>
      <c r="R346" s="24"/>
      <c r="S346" s="46" t="str">
        <f>IF(Project_Tracker[[#This Row],[Project Lead]]="", "", IFERROR(VLOOKUP(Project_Tracker[[#This Row],[Project Lead]], Setting!C:D, 2, 0), ""))</f>
        <v/>
      </c>
      <c r="T346" s="47"/>
      <c r="U346" s="37" t="str">
        <f>Project_Tracker[[#This Row],[Project Lead]]&amp;", "&amp;Project_Tracker[[#This Row],[Team Collaboration]]</f>
        <v xml:space="preserve">, </v>
      </c>
      <c r="V346" s="37"/>
      <c r="W346" s="37"/>
      <c r="X346" s="56"/>
      <c r="Y346" s="10"/>
      <c r="Z346" s="10"/>
    </row>
    <row r="347" spans="1:26" ht="10.199999999999999" x14ac:dyDescent="0.3">
      <c r="A347" s="17"/>
      <c r="B347" s="18"/>
      <c r="C347" s="95"/>
      <c r="D347" s="55"/>
      <c r="E347" s="131"/>
      <c r="F347" s="42"/>
      <c r="G347" s="20"/>
      <c r="H347" s="136"/>
      <c r="I347" s="23"/>
      <c r="J347" s="23"/>
      <c r="K347" s="23"/>
      <c r="L347" s="24"/>
      <c r="M347" s="24"/>
      <c r="N347" s="24"/>
      <c r="O347" s="24"/>
      <c r="P347" s="24"/>
      <c r="Q347" s="24"/>
      <c r="R347" s="24"/>
      <c r="S347" s="46" t="str">
        <f>IF(Project_Tracker[[#This Row],[Project Lead]]="", "", IFERROR(VLOOKUP(Project_Tracker[[#This Row],[Project Lead]], Setting!C:D, 2, 0), ""))</f>
        <v/>
      </c>
      <c r="T347" s="47"/>
      <c r="U347" s="37" t="str">
        <f>Project_Tracker[[#This Row],[Project Lead]]&amp;", "&amp;Project_Tracker[[#This Row],[Team Collaboration]]</f>
        <v xml:space="preserve">, </v>
      </c>
      <c r="V347" s="37"/>
      <c r="W347" s="37"/>
      <c r="X347" s="56"/>
      <c r="Y347" s="10"/>
      <c r="Z347" s="10"/>
    </row>
    <row r="348" spans="1:26" ht="10.199999999999999" x14ac:dyDescent="0.3">
      <c r="A348" s="17"/>
      <c r="B348" s="18"/>
      <c r="C348" s="95"/>
      <c r="D348" s="55"/>
      <c r="E348" s="131"/>
      <c r="F348" s="42"/>
      <c r="G348" s="20"/>
      <c r="H348" s="136"/>
      <c r="I348" s="23"/>
      <c r="J348" s="23"/>
      <c r="K348" s="23"/>
      <c r="L348" s="24"/>
      <c r="M348" s="24"/>
      <c r="N348" s="24"/>
      <c r="O348" s="24"/>
      <c r="P348" s="24"/>
      <c r="Q348" s="24"/>
      <c r="R348" s="24"/>
      <c r="S348" s="46" t="str">
        <f>IF(Project_Tracker[[#This Row],[Project Lead]]="", "", IFERROR(VLOOKUP(Project_Tracker[[#This Row],[Project Lead]], Setting!C:D, 2, 0), ""))</f>
        <v/>
      </c>
      <c r="T348" s="47"/>
      <c r="U348" s="37" t="str">
        <f>Project_Tracker[[#This Row],[Project Lead]]&amp;", "&amp;Project_Tracker[[#This Row],[Team Collaboration]]</f>
        <v xml:space="preserve">, </v>
      </c>
      <c r="V348" s="37"/>
      <c r="W348" s="37"/>
      <c r="X348" s="56"/>
      <c r="Y348" s="10"/>
      <c r="Z348" s="10"/>
    </row>
    <row r="349" spans="1:26" ht="10.199999999999999" x14ac:dyDescent="0.3">
      <c r="A349" s="17"/>
      <c r="B349" s="18"/>
      <c r="C349" s="95"/>
      <c r="D349" s="55"/>
      <c r="E349" s="131"/>
      <c r="F349" s="42"/>
      <c r="G349" s="20"/>
      <c r="H349" s="136"/>
      <c r="I349" s="23"/>
      <c r="J349" s="23"/>
      <c r="K349" s="23"/>
      <c r="L349" s="24"/>
      <c r="M349" s="24"/>
      <c r="N349" s="24"/>
      <c r="O349" s="24"/>
      <c r="P349" s="24"/>
      <c r="Q349" s="24"/>
      <c r="R349" s="24"/>
      <c r="S349" s="46" t="str">
        <f>IF(Project_Tracker[[#This Row],[Project Lead]]="", "", IFERROR(VLOOKUP(Project_Tracker[[#This Row],[Project Lead]], Setting!C:D, 2, 0), ""))</f>
        <v/>
      </c>
      <c r="T349" s="47"/>
      <c r="U349" s="37" t="str">
        <f>Project_Tracker[[#This Row],[Project Lead]]&amp;", "&amp;Project_Tracker[[#This Row],[Team Collaboration]]</f>
        <v xml:space="preserve">, </v>
      </c>
      <c r="V349" s="37"/>
      <c r="W349" s="37"/>
      <c r="X349" s="56"/>
      <c r="Y349" s="10"/>
      <c r="Z349" s="10"/>
    </row>
    <row r="350" spans="1:26" ht="10.199999999999999" x14ac:dyDescent="0.3">
      <c r="A350" s="17"/>
      <c r="B350" s="18"/>
      <c r="C350" s="95"/>
      <c r="D350" s="55"/>
      <c r="E350" s="131"/>
      <c r="F350" s="42"/>
      <c r="G350" s="20"/>
      <c r="H350" s="136"/>
      <c r="I350" s="23"/>
      <c r="J350" s="23"/>
      <c r="K350" s="23"/>
      <c r="L350" s="24"/>
      <c r="M350" s="24"/>
      <c r="N350" s="24"/>
      <c r="O350" s="24"/>
      <c r="P350" s="24"/>
      <c r="Q350" s="24"/>
      <c r="R350" s="24"/>
      <c r="S350" s="46" t="str">
        <f>IF(Project_Tracker[[#This Row],[Project Lead]]="", "", IFERROR(VLOOKUP(Project_Tracker[[#This Row],[Project Lead]], Setting!C:D, 2, 0), ""))</f>
        <v/>
      </c>
      <c r="T350" s="47"/>
      <c r="U350" s="37" t="str">
        <f>Project_Tracker[[#This Row],[Project Lead]]&amp;", "&amp;Project_Tracker[[#This Row],[Team Collaboration]]</f>
        <v xml:space="preserve">, </v>
      </c>
      <c r="V350" s="37"/>
      <c r="W350" s="37"/>
      <c r="X350" s="56"/>
      <c r="Y350" s="10"/>
      <c r="Z350" s="10"/>
    </row>
    <row r="351" spans="1:26" ht="10.199999999999999" x14ac:dyDescent="0.3">
      <c r="A351" s="17"/>
      <c r="B351" s="18"/>
      <c r="C351" s="95"/>
      <c r="D351" s="55"/>
      <c r="E351" s="131"/>
      <c r="F351" s="42"/>
      <c r="G351" s="20"/>
      <c r="H351" s="136"/>
      <c r="I351" s="23"/>
      <c r="J351" s="23"/>
      <c r="K351" s="23"/>
      <c r="L351" s="24"/>
      <c r="M351" s="24"/>
      <c r="N351" s="24"/>
      <c r="O351" s="24"/>
      <c r="P351" s="24"/>
      <c r="Q351" s="24"/>
      <c r="R351" s="24"/>
      <c r="S351" s="46" t="str">
        <f>IF(Project_Tracker[[#This Row],[Project Lead]]="", "", IFERROR(VLOOKUP(Project_Tracker[[#This Row],[Project Lead]], Setting!C:D, 2, 0), ""))</f>
        <v/>
      </c>
      <c r="T351" s="47"/>
      <c r="U351" s="37" t="str">
        <f>Project_Tracker[[#This Row],[Project Lead]]&amp;", "&amp;Project_Tracker[[#This Row],[Team Collaboration]]</f>
        <v xml:space="preserve">, </v>
      </c>
      <c r="V351" s="37"/>
      <c r="W351" s="37"/>
      <c r="X351" s="56"/>
      <c r="Y351" s="10"/>
      <c r="Z351" s="10"/>
    </row>
    <row r="352" spans="1:26" ht="10.199999999999999" x14ac:dyDescent="0.3">
      <c r="A352" s="17"/>
      <c r="B352" s="18"/>
      <c r="C352" s="95"/>
      <c r="D352" s="55"/>
      <c r="E352" s="131"/>
      <c r="F352" s="42"/>
      <c r="G352" s="20"/>
      <c r="H352" s="136"/>
      <c r="I352" s="23"/>
      <c r="J352" s="23"/>
      <c r="K352" s="23"/>
      <c r="L352" s="24"/>
      <c r="M352" s="24"/>
      <c r="N352" s="24"/>
      <c r="O352" s="24"/>
      <c r="P352" s="24"/>
      <c r="Q352" s="24"/>
      <c r="R352" s="24"/>
      <c r="S352" s="46" t="str">
        <f>IF(Project_Tracker[[#This Row],[Project Lead]]="", "", IFERROR(VLOOKUP(Project_Tracker[[#This Row],[Project Lead]], Setting!C:D, 2, 0), ""))</f>
        <v/>
      </c>
      <c r="T352" s="47"/>
      <c r="U352" s="37" t="str">
        <f>Project_Tracker[[#This Row],[Project Lead]]&amp;", "&amp;Project_Tracker[[#This Row],[Team Collaboration]]</f>
        <v xml:space="preserve">, </v>
      </c>
      <c r="V352" s="37"/>
      <c r="W352" s="37"/>
      <c r="X352" s="56"/>
      <c r="Y352" s="10"/>
      <c r="Z352" s="10"/>
    </row>
    <row r="353" spans="1:26" ht="10.199999999999999" x14ac:dyDescent="0.3">
      <c r="A353" s="17"/>
      <c r="B353" s="18"/>
      <c r="C353" s="95"/>
      <c r="D353" s="55"/>
      <c r="E353" s="131"/>
      <c r="F353" s="42"/>
      <c r="G353" s="20"/>
      <c r="H353" s="136"/>
      <c r="I353" s="23"/>
      <c r="J353" s="23"/>
      <c r="K353" s="23"/>
      <c r="L353" s="24"/>
      <c r="M353" s="24"/>
      <c r="N353" s="24"/>
      <c r="O353" s="24"/>
      <c r="P353" s="24"/>
      <c r="Q353" s="24"/>
      <c r="R353" s="24"/>
      <c r="S353" s="46" t="str">
        <f>IF(Project_Tracker[[#This Row],[Project Lead]]="", "", IFERROR(VLOOKUP(Project_Tracker[[#This Row],[Project Lead]], Setting!C:D, 2, 0), ""))</f>
        <v/>
      </c>
      <c r="T353" s="47"/>
      <c r="U353" s="37" t="str">
        <f>Project_Tracker[[#This Row],[Project Lead]]&amp;", "&amp;Project_Tracker[[#This Row],[Team Collaboration]]</f>
        <v xml:space="preserve">, </v>
      </c>
      <c r="V353" s="37"/>
      <c r="W353" s="37"/>
      <c r="X353" s="56"/>
      <c r="Y353" s="10"/>
      <c r="Z353" s="10"/>
    </row>
    <row r="354" spans="1:26" ht="10.199999999999999" x14ac:dyDescent="0.3">
      <c r="A354" s="17"/>
      <c r="B354" s="18"/>
      <c r="C354" s="95"/>
      <c r="D354" s="55"/>
      <c r="E354" s="131"/>
      <c r="F354" s="42"/>
      <c r="G354" s="20"/>
      <c r="H354" s="136"/>
      <c r="I354" s="23"/>
      <c r="J354" s="23"/>
      <c r="K354" s="23"/>
      <c r="L354" s="24"/>
      <c r="M354" s="24"/>
      <c r="N354" s="24"/>
      <c r="O354" s="24"/>
      <c r="P354" s="24"/>
      <c r="Q354" s="24"/>
      <c r="R354" s="24"/>
      <c r="S354" s="46" t="str">
        <f>IF(Project_Tracker[[#This Row],[Project Lead]]="", "", IFERROR(VLOOKUP(Project_Tracker[[#This Row],[Project Lead]], Setting!C:D, 2, 0), ""))</f>
        <v/>
      </c>
      <c r="T354" s="47"/>
      <c r="U354" s="37" t="str">
        <f>Project_Tracker[[#This Row],[Project Lead]]&amp;", "&amp;Project_Tracker[[#This Row],[Team Collaboration]]</f>
        <v xml:space="preserve">, </v>
      </c>
      <c r="V354" s="37"/>
      <c r="W354" s="37"/>
      <c r="X354" s="56"/>
      <c r="Y354" s="10"/>
      <c r="Z354" s="10"/>
    </row>
    <row r="355" spans="1:26" ht="10.199999999999999" x14ac:dyDescent="0.3">
      <c r="A355" s="17"/>
      <c r="B355" s="18"/>
      <c r="C355" s="95"/>
      <c r="D355" s="55"/>
      <c r="E355" s="131"/>
      <c r="F355" s="42"/>
      <c r="G355" s="20"/>
      <c r="H355" s="136"/>
      <c r="I355" s="23"/>
      <c r="J355" s="23"/>
      <c r="K355" s="23"/>
      <c r="L355" s="24"/>
      <c r="M355" s="24"/>
      <c r="N355" s="24"/>
      <c r="O355" s="24"/>
      <c r="P355" s="24"/>
      <c r="Q355" s="24"/>
      <c r="R355" s="24"/>
      <c r="S355" s="46" t="str">
        <f>IF(Project_Tracker[[#This Row],[Project Lead]]="", "", IFERROR(VLOOKUP(Project_Tracker[[#This Row],[Project Lead]], Setting!C:D, 2, 0), ""))</f>
        <v/>
      </c>
      <c r="T355" s="47"/>
      <c r="U355" s="37" t="str">
        <f>Project_Tracker[[#This Row],[Project Lead]]&amp;", "&amp;Project_Tracker[[#This Row],[Team Collaboration]]</f>
        <v xml:space="preserve">, </v>
      </c>
      <c r="V355" s="37"/>
      <c r="W355" s="37"/>
      <c r="X355" s="56"/>
      <c r="Y355" s="10"/>
      <c r="Z355" s="10"/>
    </row>
    <row r="356" spans="1:26" ht="10.199999999999999" x14ac:dyDescent="0.3">
      <c r="A356" s="17"/>
      <c r="B356" s="18"/>
      <c r="C356" s="95"/>
      <c r="D356" s="55"/>
      <c r="E356" s="131"/>
      <c r="F356" s="42"/>
      <c r="G356" s="20"/>
      <c r="H356" s="136"/>
      <c r="I356" s="23"/>
      <c r="J356" s="23"/>
      <c r="K356" s="23"/>
      <c r="L356" s="24"/>
      <c r="M356" s="24"/>
      <c r="N356" s="24"/>
      <c r="O356" s="24"/>
      <c r="P356" s="24"/>
      <c r="Q356" s="24"/>
      <c r="R356" s="24"/>
      <c r="S356" s="46" t="str">
        <f>IF(Project_Tracker[[#This Row],[Project Lead]]="", "", IFERROR(VLOOKUP(Project_Tracker[[#This Row],[Project Lead]], Setting!C:D, 2, 0), ""))</f>
        <v/>
      </c>
      <c r="T356" s="47"/>
      <c r="U356" s="37" t="str">
        <f>Project_Tracker[[#This Row],[Project Lead]]&amp;", "&amp;Project_Tracker[[#This Row],[Team Collaboration]]</f>
        <v xml:space="preserve">, </v>
      </c>
      <c r="V356" s="37"/>
      <c r="W356" s="37"/>
      <c r="X356" s="56"/>
      <c r="Y356" s="10"/>
      <c r="Z356" s="10"/>
    </row>
    <row r="357" spans="1:26" ht="10.199999999999999" x14ac:dyDescent="0.3">
      <c r="A357" s="17"/>
      <c r="B357" s="18"/>
      <c r="C357" s="95"/>
      <c r="D357" s="55"/>
      <c r="E357" s="131"/>
      <c r="F357" s="42"/>
      <c r="G357" s="20"/>
      <c r="H357" s="136"/>
      <c r="I357" s="23"/>
      <c r="J357" s="23"/>
      <c r="K357" s="23"/>
      <c r="L357" s="24"/>
      <c r="M357" s="24"/>
      <c r="N357" s="24"/>
      <c r="O357" s="24"/>
      <c r="P357" s="24"/>
      <c r="Q357" s="24"/>
      <c r="R357" s="24"/>
      <c r="S357" s="46" t="str">
        <f>IF(Project_Tracker[[#This Row],[Project Lead]]="", "", IFERROR(VLOOKUP(Project_Tracker[[#This Row],[Project Lead]], Setting!C:D, 2, 0), ""))</f>
        <v/>
      </c>
      <c r="T357" s="47"/>
      <c r="U357" s="37" t="str">
        <f>Project_Tracker[[#This Row],[Project Lead]]&amp;", "&amp;Project_Tracker[[#This Row],[Team Collaboration]]</f>
        <v xml:space="preserve">, </v>
      </c>
      <c r="V357" s="37"/>
      <c r="W357" s="37"/>
      <c r="X357" s="56"/>
      <c r="Y357" s="10"/>
      <c r="Z357" s="10"/>
    </row>
    <row r="358" spans="1:26" ht="10.199999999999999" x14ac:dyDescent="0.3">
      <c r="A358" s="17"/>
      <c r="B358" s="18"/>
      <c r="C358" s="95"/>
      <c r="D358" s="55"/>
      <c r="E358" s="131"/>
      <c r="F358" s="42"/>
      <c r="G358" s="20"/>
      <c r="H358" s="136"/>
      <c r="I358" s="23"/>
      <c r="J358" s="23"/>
      <c r="K358" s="23"/>
      <c r="L358" s="24"/>
      <c r="M358" s="24"/>
      <c r="N358" s="24"/>
      <c r="O358" s="24"/>
      <c r="P358" s="24"/>
      <c r="Q358" s="24"/>
      <c r="R358" s="24"/>
      <c r="S358" s="46" t="str">
        <f>IF(Project_Tracker[[#This Row],[Project Lead]]="", "", IFERROR(VLOOKUP(Project_Tracker[[#This Row],[Project Lead]], Setting!C:D, 2, 0), ""))</f>
        <v/>
      </c>
      <c r="T358" s="47"/>
      <c r="U358" s="37" t="str">
        <f>Project_Tracker[[#This Row],[Project Lead]]&amp;", "&amp;Project_Tracker[[#This Row],[Team Collaboration]]</f>
        <v xml:space="preserve">, </v>
      </c>
      <c r="V358" s="37"/>
      <c r="W358" s="37"/>
      <c r="X358" s="56"/>
      <c r="Y358" s="10"/>
      <c r="Z358" s="10"/>
    </row>
    <row r="359" spans="1:26" ht="10.199999999999999" x14ac:dyDescent="0.3">
      <c r="A359" s="17"/>
      <c r="B359" s="18"/>
      <c r="C359" s="95"/>
      <c r="D359" s="55"/>
      <c r="E359" s="131"/>
      <c r="F359" s="42"/>
      <c r="G359" s="20"/>
      <c r="H359" s="136"/>
      <c r="I359" s="23"/>
      <c r="J359" s="23"/>
      <c r="K359" s="23"/>
      <c r="L359" s="24"/>
      <c r="M359" s="24"/>
      <c r="N359" s="24"/>
      <c r="O359" s="24"/>
      <c r="P359" s="24"/>
      <c r="Q359" s="24"/>
      <c r="R359" s="24"/>
      <c r="S359" s="46" t="str">
        <f>IF(Project_Tracker[[#This Row],[Project Lead]]="", "", IFERROR(VLOOKUP(Project_Tracker[[#This Row],[Project Lead]], Setting!C:D, 2, 0), ""))</f>
        <v/>
      </c>
      <c r="T359" s="47"/>
      <c r="U359" s="37" t="str">
        <f>Project_Tracker[[#This Row],[Project Lead]]&amp;", "&amp;Project_Tracker[[#This Row],[Team Collaboration]]</f>
        <v xml:space="preserve">, </v>
      </c>
      <c r="V359" s="37"/>
      <c r="W359" s="37"/>
      <c r="X359" s="56"/>
      <c r="Y359" s="10"/>
      <c r="Z359" s="10"/>
    </row>
    <row r="360" spans="1:26" ht="10.199999999999999" x14ac:dyDescent="0.3">
      <c r="A360" s="17"/>
      <c r="B360" s="18"/>
      <c r="C360" s="95"/>
      <c r="D360" s="55"/>
      <c r="E360" s="131"/>
      <c r="F360" s="42"/>
      <c r="G360" s="20"/>
      <c r="H360" s="136"/>
      <c r="I360" s="23"/>
      <c r="J360" s="23"/>
      <c r="K360" s="23"/>
      <c r="L360" s="24"/>
      <c r="M360" s="24"/>
      <c r="N360" s="24"/>
      <c r="O360" s="24"/>
      <c r="P360" s="24"/>
      <c r="Q360" s="24"/>
      <c r="R360" s="24"/>
      <c r="S360" s="46" t="str">
        <f>IF(Project_Tracker[[#This Row],[Project Lead]]="", "", IFERROR(VLOOKUP(Project_Tracker[[#This Row],[Project Lead]], Setting!C:D, 2, 0), ""))</f>
        <v/>
      </c>
      <c r="T360" s="47"/>
      <c r="U360" s="37" t="str">
        <f>Project_Tracker[[#This Row],[Project Lead]]&amp;", "&amp;Project_Tracker[[#This Row],[Team Collaboration]]</f>
        <v xml:space="preserve">, </v>
      </c>
      <c r="V360" s="37"/>
      <c r="W360" s="37"/>
      <c r="X360" s="56"/>
      <c r="Y360" s="10"/>
      <c r="Z360" s="10"/>
    </row>
    <row r="361" spans="1:26" ht="10.199999999999999" x14ac:dyDescent="0.3">
      <c r="A361" s="17"/>
      <c r="B361" s="18"/>
      <c r="C361" s="95"/>
      <c r="D361" s="55"/>
      <c r="E361" s="131"/>
      <c r="F361" s="42"/>
      <c r="G361" s="20"/>
      <c r="H361" s="136"/>
      <c r="I361" s="23"/>
      <c r="J361" s="23"/>
      <c r="K361" s="23"/>
      <c r="L361" s="24"/>
      <c r="M361" s="24"/>
      <c r="N361" s="24"/>
      <c r="O361" s="24"/>
      <c r="P361" s="24"/>
      <c r="Q361" s="24"/>
      <c r="R361" s="24"/>
      <c r="S361" s="46" t="str">
        <f>IF(Project_Tracker[[#This Row],[Project Lead]]="", "", IFERROR(VLOOKUP(Project_Tracker[[#This Row],[Project Lead]], Setting!C:D, 2, 0), ""))</f>
        <v/>
      </c>
      <c r="T361" s="47"/>
      <c r="U361" s="37" t="str">
        <f>Project_Tracker[[#This Row],[Project Lead]]&amp;", "&amp;Project_Tracker[[#This Row],[Team Collaboration]]</f>
        <v xml:space="preserve">, </v>
      </c>
      <c r="V361" s="37"/>
      <c r="W361" s="37"/>
      <c r="X361" s="56"/>
      <c r="Y361" s="10"/>
      <c r="Z361" s="10"/>
    </row>
    <row r="362" spans="1:26" ht="10.199999999999999" x14ac:dyDescent="0.3">
      <c r="A362" s="17"/>
      <c r="B362" s="18"/>
      <c r="C362" s="95"/>
      <c r="D362" s="55"/>
      <c r="E362" s="131"/>
      <c r="F362" s="42"/>
      <c r="G362" s="20"/>
      <c r="H362" s="136"/>
      <c r="I362" s="23"/>
      <c r="J362" s="23"/>
      <c r="K362" s="23"/>
      <c r="L362" s="24"/>
      <c r="M362" s="24"/>
      <c r="N362" s="24"/>
      <c r="O362" s="24"/>
      <c r="P362" s="24"/>
      <c r="Q362" s="24"/>
      <c r="R362" s="24"/>
      <c r="S362" s="46" t="str">
        <f>IF(Project_Tracker[[#This Row],[Project Lead]]="", "", IFERROR(VLOOKUP(Project_Tracker[[#This Row],[Project Lead]], Setting!C:D, 2, 0), ""))</f>
        <v/>
      </c>
      <c r="T362" s="47"/>
      <c r="U362" s="37" t="str">
        <f>Project_Tracker[[#This Row],[Project Lead]]&amp;", "&amp;Project_Tracker[[#This Row],[Team Collaboration]]</f>
        <v xml:space="preserve">, </v>
      </c>
      <c r="V362" s="37"/>
      <c r="W362" s="37"/>
      <c r="X362" s="56"/>
      <c r="Y362" s="10"/>
      <c r="Z362" s="10"/>
    </row>
    <row r="363" spans="1:26" ht="10.199999999999999" x14ac:dyDescent="0.3">
      <c r="A363" s="17"/>
      <c r="B363" s="18"/>
      <c r="C363" s="95"/>
      <c r="D363" s="55"/>
      <c r="E363" s="131"/>
      <c r="F363" s="42"/>
      <c r="G363" s="20"/>
      <c r="H363" s="136"/>
      <c r="I363" s="23"/>
      <c r="J363" s="23"/>
      <c r="K363" s="23"/>
      <c r="L363" s="24"/>
      <c r="M363" s="24"/>
      <c r="N363" s="24"/>
      <c r="O363" s="24"/>
      <c r="P363" s="24"/>
      <c r="Q363" s="24"/>
      <c r="R363" s="24"/>
      <c r="S363" s="46" t="str">
        <f>IF(Project_Tracker[[#This Row],[Project Lead]]="", "", IFERROR(VLOOKUP(Project_Tracker[[#This Row],[Project Lead]], Setting!C:D, 2, 0), ""))</f>
        <v/>
      </c>
      <c r="T363" s="47"/>
      <c r="U363" s="37" t="str">
        <f>Project_Tracker[[#This Row],[Project Lead]]&amp;", "&amp;Project_Tracker[[#This Row],[Team Collaboration]]</f>
        <v xml:space="preserve">, </v>
      </c>
      <c r="V363" s="37"/>
      <c r="W363" s="37"/>
      <c r="X363" s="56"/>
      <c r="Y363" s="10"/>
      <c r="Z363" s="10"/>
    </row>
    <row r="364" spans="1:26" ht="10.199999999999999" x14ac:dyDescent="0.3">
      <c r="A364" s="17"/>
      <c r="B364" s="18"/>
      <c r="C364" s="95"/>
      <c r="D364" s="55"/>
      <c r="E364" s="131"/>
      <c r="F364" s="42"/>
      <c r="G364" s="20"/>
      <c r="H364" s="136"/>
      <c r="I364" s="23"/>
      <c r="J364" s="23"/>
      <c r="K364" s="23"/>
      <c r="L364" s="24"/>
      <c r="M364" s="24"/>
      <c r="N364" s="24"/>
      <c r="O364" s="24"/>
      <c r="P364" s="24"/>
      <c r="Q364" s="24"/>
      <c r="R364" s="24"/>
      <c r="S364" s="46" t="str">
        <f>IF(Project_Tracker[[#This Row],[Project Lead]]="", "", IFERROR(VLOOKUP(Project_Tracker[[#This Row],[Project Lead]], Setting!C:D, 2, 0), ""))</f>
        <v/>
      </c>
      <c r="T364" s="47"/>
      <c r="U364" s="37" t="str">
        <f>Project_Tracker[[#This Row],[Project Lead]]&amp;", "&amp;Project_Tracker[[#This Row],[Team Collaboration]]</f>
        <v xml:space="preserve">, </v>
      </c>
      <c r="V364" s="37"/>
      <c r="W364" s="37"/>
      <c r="X364" s="56"/>
      <c r="Y364" s="10"/>
      <c r="Z364" s="10"/>
    </row>
    <row r="365" spans="1:26" ht="10.199999999999999" x14ac:dyDescent="0.3">
      <c r="A365" s="17"/>
      <c r="B365" s="18"/>
      <c r="C365" s="95"/>
      <c r="D365" s="55"/>
      <c r="E365" s="131"/>
      <c r="F365" s="42"/>
      <c r="G365" s="20"/>
      <c r="H365" s="136"/>
      <c r="I365" s="23"/>
      <c r="J365" s="23"/>
      <c r="K365" s="23"/>
      <c r="L365" s="24"/>
      <c r="M365" s="24"/>
      <c r="N365" s="24"/>
      <c r="O365" s="24"/>
      <c r="P365" s="24"/>
      <c r="Q365" s="24"/>
      <c r="R365" s="24"/>
      <c r="S365" s="46" t="str">
        <f>IF(Project_Tracker[[#This Row],[Project Lead]]="", "", IFERROR(VLOOKUP(Project_Tracker[[#This Row],[Project Lead]], Setting!C:D, 2, 0), ""))</f>
        <v/>
      </c>
      <c r="T365" s="47"/>
      <c r="U365" s="37" t="str">
        <f>Project_Tracker[[#This Row],[Project Lead]]&amp;", "&amp;Project_Tracker[[#This Row],[Team Collaboration]]</f>
        <v xml:space="preserve">, </v>
      </c>
      <c r="V365" s="37"/>
      <c r="W365" s="37"/>
      <c r="X365" s="56"/>
      <c r="Y365" s="10"/>
      <c r="Z365" s="10"/>
    </row>
    <row r="366" spans="1:26" ht="10.199999999999999" x14ac:dyDescent="0.3">
      <c r="A366" s="17"/>
      <c r="B366" s="18"/>
      <c r="C366" s="95"/>
      <c r="D366" s="55"/>
      <c r="E366" s="131"/>
      <c r="F366" s="42"/>
      <c r="G366" s="20"/>
      <c r="H366" s="136"/>
      <c r="I366" s="23"/>
      <c r="J366" s="23"/>
      <c r="K366" s="23"/>
      <c r="L366" s="24"/>
      <c r="M366" s="24"/>
      <c r="N366" s="24"/>
      <c r="O366" s="24"/>
      <c r="P366" s="24"/>
      <c r="Q366" s="24"/>
      <c r="R366" s="24"/>
      <c r="S366" s="46" t="str">
        <f>IF(Project_Tracker[[#This Row],[Project Lead]]="", "", IFERROR(VLOOKUP(Project_Tracker[[#This Row],[Project Lead]], Setting!C:D, 2, 0), ""))</f>
        <v/>
      </c>
      <c r="T366" s="47"/>
      <c r="U366" s="37" t="str">
        <f>Project_Tracker[[#This Row],[Project Lead]]&amp;", "&amp;Project_Tracker[[#This Row],[Team Collaboration]]</f>
        <v xml:space="preserve">, </v>
      </c>
      <c r="V366" s="37"/>
      <c r="W366" s="37"/>
      <c r="X366" s="56"/>
      <c r="Y366" s="10"/>
      <c r="Z366" s="10"/>
    </row>
    <row r="367" spans="1:26" ht="10.199999999999999" x14ac:dyDescent="0.3">
      <c r="A367" s="17"/>
      <c r="B367" s="18"/>
      <c r="C367" s="95"/>
      <c r="D367" s="55"/>
      <c r="E367" s="131"/>
      <c r="F367" s="42"/>
      <c r="G367" s="20"/>
      <c r="H367" s="136"/>
      <c r="I367" s="23"/>
      <c r="J367" s="23"/>
      <c r="K367" s="23"/>
      <c r="L367" s="24"/>
      <c r="M367" s="24"/>
      <c r="N367" s="24"/>
      <c r="O367" s="24"/>
      <c r="P367" s="24"/>
      <c r="Q367" s="24"/>
      <c r="R367" s="24"/>
      <c r="S367" s="46" t="str">
        <f>IF(Project_Tracker[[#This Row],[Project Lead]]="", "", IFERROR(VLOOKUP(Project_Tracker[[#This Row],[Project Lead]], Setting!C:D, 2, 0), ""))</f>
        <v/>
      </c>
      <c r="T367" s="47"/>
      <c r="U367" s="37" t="str">
        <f>Project_Tracker[[#This Row],[Project Lead]]&amp;", "&amp;Project_Tracker[[#This Row],[Team Collaboration]]</f>
        <v xml:space="preserve">, </v>
      </c>
      <c r="V367" s="37"/>
      <c r="W367" s="37"/>
      <c r="X367" s="56"/>
      <c r="Y367" s="10"/>
      <c r="Z367" s="10"/>
    </row>
    <row r="368" spans="1:26" ht="10.199999999999999" x14ac:dyDescent="0.3">
      <c r="A368" s="17"/>
      <c r="B368" s="18"/>
      <c r="C368" s="95"/>
      <c r="D368" s="55"/>
      <c r="E368" s="131"/>
      <c r="F368" s="42"/>
      <c r="G368" s="20"/>
      <c r="H368" s="136"/>
      <c r="I368" s="23"/>
      <c r="J368" s="23"/>
      <c r="K368" s="23"/>
      <c r="L368" s="24"/>
      <c r="M368" s="24"/>
      <c r="N368" s="24"/>
      <c r="O368" s="24"/>
      <c r="P368" s="24"/>
      <c r="Q368" s="24"/>
      <c r="R368" s="24"/>
      <c r="S368" s="46" t="str">
        <f>IF(Project_Tracker[[#This Row],[Project Lead]]="", "", IFERROR(VLOOKUP(Project_Tracker[[#This Row],[Project Lead]], Setting!C:D, 2, 0), ""))</f>
        <v/>
      </c>
      <c r="T368" s="47"/>
      <c r="U368" s="37" t="str">
        <f>Project_Tracker[[#This Row],[Project Lead]]&amp;", "&amp;Project_Tracker[[#This Row],[Team Collaboration]]</f>
        <v xml:space="preserve">, </v>
      </c>
      <c r="V368" s="37"/>
      <c r="W368" s="37"/>
      <c r="X368" s="56"/>
      <c r="Y368" s="10"/>
      <c r="Z368" s="10"/>
    </row>
    <row r="369" spans="1:26" ht="10.199999999999999" x14ac:dyDescent="0.3">
      <c r="A369" s="17"/>
      <c r="B369" s="18"/>
      <c r="C369" s="95"/>
      <c r="D369" s="55"/>
      <c r="E369" s="131"/>
      <c r="F369" s="42"/>
      <c r="G369" s="20"/>
      <c r="H369" s="136"/>
      <c r="I369" s="23"/>
      <c r="J369" s="23"/>
      <c r="K369" s="23"/>
      <c r="L369" s="24"/>
      <c r="M369" s="24"/>
      <c r="N369" s="24"/>
      <c r="O369" s="24"/>
      <c r="P369" s="24"/>
      <c r="Q369" s="24"/>
      <c r="R369" s="24"/>
      <c r="S369" s="46" t="str">
        <f>IF(Project_Tracker[[#This Row],[Project Lead]]="", "", IFERROR(VLOOKUP(Project_Tracker[[#This Row],[Project Lead]], Setting!C:D, 2, 0), ""))</f>
        <v/>
      </c>
      <c r="T369" s="47"/>
      <c r="U369" s="37" t="str">
        <f>Project_Tracker[[#This Row],[Project Lead]]&amp;", "&amp;Project_Tracker[[#This Row],[Team Collaboration]]</f>
        <v xml:space="preserve">, </v>
      </c>
      <c r="V369" s="37"/>
      <c r="W369" s="37"/>
      <c r="X369" s="56"/>
      <c r="Y369" s="10"/>
      <c r="Z369" s="10"/>
    </row>
    <row r="370" spans="1:26" ht="10.199999999999999" x14ac:dyDescent="0.3">
      <c r="A370" s="17"/>
      <c r="B370" s="18"/>
      <c r="C370" s="95"/>
      <c r="D370" s="55"/>
      <c r="E370" s="131"/>
      <c r="F370" s="42"/>
      <c r="G370" s="20"/>
      <c r="H370" s="136"/>
      <c r="I370" s="23"/>
      <c r="J370" s="23"/>
      <c r="K370" s="23"/>
      <c r="L370" s="24"/>
      <c r="M370" s="24"/>
      <c r="N370" s="24"/>
      <c r="O370" s="24"/>
      <c r="P370" s="24"/>
      <c r="Q370" s="24"/>
      <c r="R370" s="24"/>
      <c r="S370" s="46" t="str">
        <f>IF(Project_Tracker[[#This Row],[Project Lead]]="", "", IFERROR(VLOOKUP(Project_Tracker[[#This Row],[Project Lead]], Setting!C:D, 2, 0), ""))</f>
        <v/>
      </c>
      <c r="T370" s="47"/>
      <c r="U370" s="37" t="str">
        <f>Project_Tracker[[#This Row],[Project Lead]]&amp;", "&amp;Project_Tracker[[#This Row],[Team Collaboration]]</f>
        <v xml:space="preserve">, </v>
      </c>
      <c r="V370" s="37"/>
      <c r="W370" s="37"/>
      <c r="X370" s="56"/>
      <c r="Y370" s="10"/>
      <c r="Z370" s="10"/>
    </row>
    <row r="371" spans="1:26" ht="10.199999999999999" x14ac:dyDescent="0.3">
      <c r="A371" s="17"/>
      <c r="B371" s="18"/>
      <c r="C371" s="95"/>
      <c r="D371" s="55"/>
      <c r="E371" s="131"/>
      <c r="F371" s="42"/>
      <c r="G371" s="20"/>
      <c r="H371" s="136"/>
      <c r="I371" s="23"/>
      <c r="J371" s="23"/>
      <c r="K371" s="23"/>
      <c r="L371" s="24"/>
      <c r="M371" s="24"/>
      <c r="N371" s="24"/>
      <c r="O371" s="24"/>
      <c r="P371" s="24"/>
      <c r="Q371" s="24"/>
      <c r="R371" s="24"/>
      <c r="S371" s="46" t="str">
        <f>IF(Project_Tracker[[#This Row],[Project Lead]]="", "", IFERROR(VLOOKUP(Project_Tracker[[#This Row],[Project Lead]], Setting!C:D, 2, 0), ""))</f>
        <v/>
      </c>
      <c r="T371" s="47"/>
      <c r="U371" s="37" t="str">
        <f>Project_Tracker[[#This Row],[Project Lead]]&amp;", "&amp;Project_Tracker[[#This Row],[Team Collaboration]]</f>
        <v xml:space="preserve">, </v>
      </c>
      <c r="V371" s="37"/>
      <c r="W371" s="37"/>
      <c r="X371" s="56"/>
      <c r="Y371" s="10"/>
      <c r="Z371" s="10"/>
    </row>
    <row r="372" spans="1:26" ht="10.199999999999999" x14ac:dyDescent="0.3">
      <c r="A372" s="17"/>
      <c r="B372" s="18"/>
      <c r="C372" s="95"/>
      <c r="D372" s="55"/>
      <c r="E372" s="131"/>
      <c r="F372" s="42"/>
      <c r="G372" s="20"/>
      <c r="H372" s="136"/>
      <c r="I372" s="23"/>
      <c r="J372" s="23"/>
      <c r="K372" s="23"/>
      <c r="L372" s="24"/>
      <c r="M372" s="24"/>
      <c r="N372" s="24"/>
      <c r="O372" s="24"/>
      <c r="P372" s="24"/>
      <c r="Q372" s="24"/>
      <c r="R372" s="24"/>
      <c r="S372" s="46" t="str">
        <f>IF(Project_Tracker[[#This Row],[Project Lead]]="", "", IFERROR(VLOOKUP(Project_Tracker[[#This Row],[Project Lead]], Setting!C:D, 2, 0), ""))</f>
        <v/>
      </c>
      <c r="T372" s="47"/>
      <c r="U372" s="37" t="str">
        <f>Project_Tracker[[#This Row],[Project Lead]]&amp;", "&amp;Project_Tracker[[#This Row],[Team Collaboration]]</f>
        <v xml:space="preserve">, </v>
      </c>
      <c r="V372" s="37"/>
      <c r="W372" s="37"/>
      <c r="X372" s="56"/>
      <c r="Y372" s="10"/>
      <c r="Z372" s="10"/>
    </row>
    <row r="373" spans="1:26" ht="10.199999999999999" x14ac:dyDescent="0.3">
      <c r="A373" s="17"/>
      <c r="B373" s="18"/>
      <c r="C373" s="95"/>
      <c r="D373" s="55"/>
      <c r="E373" s="131"/>
      <c r="F373" s="42"/>
      <c r="G373" s="20"/>
      <c r="H373" s="136"/>
      <c r="I373" s="23"/>
      <c r="J373" s="23"/>
      <c r="K373" s="23"/>
      <c r="L373" s="24"/>
      <c r="M373" s="24"/>
      <c r="N373" s="24"/>
      <c r="O373" s="24"/>
      <c r="P373" s="24"/>
      <c r="Q373" s="24"/>
      <c r="R373" s="24"/>
      <c r="S373" s="46" t="str">
        <f>IF(Project_Tracker[[#This Row],[Project Lead]]="", "", IFERROR(VLOOKUP(Project_Tracker[[#This Row],[Project Lead]], Setting!C:D, 2, 0), ""))</f>
        <v/>
      </c>
      <c r="T373" s="47"/>
      <c r="U373" s="37" t="str">
        <f>Project_Tracker[[#This Row],[Project Lead]]&amp;", "&amp;Project_Tracker[[#This Row],[Team Collaboration]]</f>
        <v xml:space="preserve">, </v>
      </c>
      <c r="V373" s="37"/>
      <c r="W373" s="37"/>
      <c r="X373" s="56"/>
      <c r="Y373" s="10"/>
      <c r="Z373" s="10"/>
    </row>
    <row r="374" spans="1:26" ht="10.199999999999999" x14ac:dyDescent="0.3">
      <c r="A374" s="17"/>
      <c r="B374" s="18"/>
      <c r="C374" s="95"/>
      <c r="D374" s="55"/>
      <c r="E374" s="131"/>
      <c r="F374" s="42"/>
      <c r="G374" s="20"/>
      <c r="H374" s="136"/>
      <c r="I374" s="23"/>
      <c r="J374" s="23"/>
      <c r="K374" s="23"/>
      <c r="L374" s="24"/>
      <c r="M374" s="24"/>
      <c r="N374" s="24"/>
      <c r="O374" s="24"/>
      <c r="P374" s="24"/>
      <c r="Q374" s="24"/>
      <c r="R374" s="24"/>
      <c r="S374" s="46" t="str">
        <f>IF(Project_Tracker[[#This Row],[Project Lead]]="", "", IFERROR(VLOOKUP(Project_Tracker[[#This Row],[Project Lead]], Setting!C:D, 2, 0), ""))</f>
        <v/>
      </c>
      <c r="T374" s="47"/>
      <c r="U374" s="37" t="str">
        <f>Project_Tracker[[#This Row],[Project Lead]]&amp;", "&amp;Project_Tracker[[#This Row],[Team Collaboration]]</f>
        <v xml:space="preserve">, </v>
      </c>
      <c r="V374" s="37"/>
      <c r="W374" s="37"/>
      <c r="X374" s="56"/>
      <c r="Y374" s="10"/>
      <c r="Z374" s="10"/>
    </row>
    <row r="375" spans="1:26" ht="10.199999999999999" x14ac:dyDescent="0.3">
      <c r="A375" s="17"/>
      <c r="B375" s="18"/>
      <c r="C375" s="95"/>
      <c r="D375" s="55"/>
      <c r="E375" s="131"/>
      <c r="F375" s="42"/>
      <c r="G375" s="20"/>
      <c r="H375" s="136"/>
      <c r="I375" s="23"/>
      <c r="J375" s="23"/>
      <c r="K375" s="23"/>
      <c r="L375" s="24"/>
      <c r="M375" s="24"/>
      <c r="N375" s="24"/>
      <c r="O375" s="24"/>
      <c r="P375" s="24"/>
      <c r="Q375" s="24"/>
      <c r="R375" s="24"/>
      <c r="S375" s="46" t="str">
        <f>IF(Project_Tracker[[#This Row],[Project Lead]]="", "", IFERROR(VLOOKUP(Project_Tracker[[#This Row],[Project Lead]], Setting!C:D, 2, 0), ""))</f>
        <v/>
      </c>
      <c r="T375" s="47"/>
      <c r="U375" s="37" t="str">
        <f>Project_Tracker[[#This Row],[Project Lead]]&amp;", "&amp;Project_Tracker[[#This Row],[Team Collaboration]]</f>
        <v xml:space="preserve">, </v>
      </c>
      <c r="V375" s="37"/>
      <c r="W375" s="37"/>
      <c r="X375" s="56"/>
      <c r="Y375" s="10"/>
      <c r="Z375" s="10"/>
    </row>
    <row r="376" spans="1:26" ht="10.199999999999999" x14ac:dyDescent="0.3">
      <c r="A376" s="17"/>
      <c r="B376" s="18"/>
      <c r="C376" s="95"/>
      <c r="D376" s="55"/>
      <c r="E376" s="131"/>
      <c r="F376" s="42"/>
      <c r="G376" s="20"/>
      <c r="H376" s="136"/>
      <c r="I376" s="23"/>
      <c r="J376" s="23"/>
      <c r="K376" s="23"/>
      <c r="L376" s="24"/>
      <c r="M376" s="24"/>
      <c r="N376" s="24"/>
      <c r="O376" s="24"/>
      <c r="P376" s="24"/>
      <c r="Q376" s="24"/>
      <c r="R376" s="24"/>
      <c r="S376" s="46" t="str">
        <f>IF(Project_Tracker[[#This Row],[Project Lead]]="", "", IFERROR(VLOOKUP(Project_Tracker[[#This Row],[Project Lead]], Setting!C:D, 2, 0), ""))</f>
        <v/>
      </c>
      <c r="T376" s="47"/>
      <c r="U376" s="37" t="str">
        <f>Project_Tracker[[#This Row],[Project Lead]]&amp;", "&amp;Project_Tracker[[#This Row],[Team Collaboration]]</f>
        <v xml:space="preserve">, </v>
      </c>
      <c r="V376" s="37"/>
      <c r="W376" s="37"/>
      <c r="X376" s="56"/>
      <c r="Y376" s="10"/>
      <c r="Z376" s="10"/>
    </row>
    <row r="377" spans="1:26" ht="10.199999999999999" x14ac:dyDescent="0.3">
      <c r="A377" s="17"/>
      <c r="B377" s="18"/>
      <c r="C377" s="95"/>
      <c r="D377" s="55"/>
      <c r="E377" s="131"/>
      <c r="F377" s="42"/>
      <c r="G377" s="20"/>
      <c r="H377" s="136"/>
      <c r="I377" s="23"/>
      <c r="J377" s="23"/>
      <c r="K377" s="23"/>
      <c r="L377" s="24"/>
      <c r="M377" s="24"/>
      <c r="N377" s="24"/>
      <c r="O377" s="24"/>
      <c r="P377" s="24"/>
      <c r="Q377" s="24"/>
      <c r="R377" s="24"/>
      <c r="S377" s="46" t="str">
        <f>IF(Project_Tracker[[#This Row],[Project Lead]]="", "", IFERROR(VLOOKUP(Project_Tracker[[#This Row],[Project Lead]], Setting!C:D, 2, 0), ""))</f>
        <v/>
      </c>
      <c r="T377" s="47"/>
      <c r="U377" s="37" t="str">
        <f>Project_Tracker[[#This Row],[Project Lead]]&amp;", "&amp;Project_Tracker[[#This Row],[Team Collaboration]]</f>
        <v xml:space="preserve">, </v>
      </c>
      <c r="V377" s="37"/>
      <c r="W377" s="37"/>
      <c r="X377" s="56"/>
      <c r="Y377" s="10"/>
      <c r="Z377" s="10"/>
    </row>
    <row r="378" spans="1:26" ht="10.199999999999999" x14ac:dyDescent="0.3">
      <c r="A378" s="17"/>
      <c r="B378" s="18"/>
      <c r="C378" s="95"/>
      <c r="D378" s="55"/>
      <c r="E378" s="131"/>
      <c r="F378" s="42"/>
      <c r="G378" s="20"/>
      <c r="H378" s="136"/>
      <c r="I378" s="23"/>
      <c r="J378" s="23"/>
      <c r="K378" s="23"/>
      <c r="L378" s="24"/>
      <c r="M378" s="24"/>
      <c r="N378" s="24"/>
      <c r="O378" s="24"/>
      <c r="P378" s="24"/>
      <c r="Q378" s="24"/>
      <c r="R378" s="24"/>
      <c r="S378" s="46" t="str">
        <f>IF(Project_Tracker[[#This Row],[Project Lead]]="", "", IFERROR(VLOOKUP(Project_Tracker[[#This Row],[Project Lead]], Setting!C:D, 2, 0), ""))</f>
        <v/>
      </c>
      <c r="T378" s="47"/>
      <c r="U378" s="37" t="str">
        <f>Project_Tracker[[#This Row],[Project Lead]]&amp;", "&amp;Project_Tracker[[#This Row],[Team Collaboration]]</f>
        <v xml:space="preserve">, </v>
      </c>
      <c r="V378" s="37"/>
      <c r="W378" s="37"/>
      <c r="X378" s="56"/>
      <c r="Y378" s="10"/>
      <c r="Z378" s="10"/>
    </row>
    <row r="379" spans="1:26" ht="10.199999999999999" x14ac:dyDescent="0.3">
      <c r="A379" s="17"/>
      <c r="B379" s="18"/>
      <c r="C379" s="95"/>
      <c r="D379" s="55"/>
      <c r="E379" s="131"/>
      <c r="F379" s="42"/>
      <c r="G379" s="20"/>
      <c r="H379" s="136"/>
      <c r="I379" s="23"/>
      <c r="J379" s="23"/>
      <c r="K379" s="23"/>
      <c r="L379" s="24"/>
      <c r="M379" s="24"/>
      <c r="N379" s="24"/>
      <c r="O379" s="24"/>
      <c r="P379" s="24"/>
      <c r="Q379" s="24"/>
      <c r="R379" s="24"/>
      <c r="S379" s="46" t="str">
        <f>IF(Project_Tracker[[#This Row],[Project Lead]]="", "", IFERROR(VLOOKUP(Project_Tracker[[#This Row],[Project Lead]], Setting!C:D, 2, 0), ""))</f>
        <v/>
      </c>
      <c r="T379" s="47"/>
      <c r="U379" s="37" t="str">
        <f>Project_Tracker[[#This Row],[Project Lead]]&amp;", "&amp;Project_Tracker[[#This Row],[Team Collaboration]]</f>
        <v xml:space="preserve">, </v>
      </c>
      <c r="V379" s="37"/>
      <c r="W379" s="37"/>
      <c r="X379" s="56"/>
      <c r="Y379" s="10"/>
      <c r="Z379" s="10"/>
    </row>
    <row r="380" spans="1:26" ht="10.199999999999999" x14ac:dyDescent="0.3">
      <c r="A380" s="17"/>
      <c r="B380" s="18"/>
      <c r="C380" s="95"/>
      <c r="D380" s="55"/>
      <c r="E380" s="131"/>
      <c r="F380" s="42"/>
      <c r="G380" s="20"/>
      <c r="H380" s="136"/>
      <c r="I380" s="23"/>
      <c r="J380" s="23"/>
      <c r="K380" s="23"/>
      <c r="L380" s="24"/>
      <c r="M380" s="24"/>
      <c r="N380" s="24"/>
      <c r="O380" s="24"/>
      <c r="P380" s="24"/>
      <c r="Q380" s="24"/>
      <c r="R380" s="24"/>
      <c r="S380" s="46" t="str">
        <f>IF(Project_Tracker[[#This Row],[Project Lead]]="", "", IFERROR(VLOOKUP(Project_Tracker[[#This Row],[Project Lead]], Setting!C:D, 2, 0), ""))</f>
        <v/>
      </c>
      <c r="T380" s="47"/>
      <c r="U380" s="37" t="str">
        <f>Project_Tracker[[#This Row],[Project Lead]]&amp;", "&amp;Project_Tracker[[#This Row],[Team Collaboration]]</f>
        <v xml:space="preserve">, </v>
      </c>
      <c r="V380" s="37"/>
      <c r="W380" s="37"/>
      <c r="X380" s="56"/>
      <c r="Y380" s="10"/>
      <c r="Z380" s="10"/>
    </row>
    <row r="381" spans="1:26" ht="10.199999999999999" x14ac:dyDescent="0.3">
      <c r="A381" s="17"/>
      <c r="B381" s="18"/>
      <c r="C381" s="95"/>
      <c r="D381" s="55"/>
      <c r="E381" s="131"/>
      <c r="F381" s="42"/>
      <c r="G381" s="20"/>
      <c r="H381" s="136"/>
      <c r="I381" s="23"/>
      <c r="J381" s="23"/>
      <c r="K381" s="23"/>
      <c r="L381" s="24"/>
      <c r="M381" s="24"/>
      <c r="N381" s="24"/>
      <c r="O381" s="24"/>
      <c r="P381" s="24"/>
      <c r="Q381" s="24"/>
      <c r="R381" s="24"/>
      <c r="S381" s="46" t="str">
        <f>IF(Project_Tracker[[#This Row],[Project Lead]]="", "", IFERROR(VLOOKUP(Project_Tracker[[#This Row],[Project Lead]], Setting!C:D, 2, 0), ""))</f>
        <v/>
      </c>
      <c r="T381" s="47"/>
      <c r="U381" s="37" t="str">
        <f>Project_Tracker[[#This Row],[Project Lead]]&amp;", "&amp;Project_Tracker[[#This Row],[Team Collaboration]]</f>
        <v xml:space="preserve">, </v>
      </c>
      <c r="V381" s="37"/>
      <c r="W381" s="37"/>
      <c r="X381" s="56"/>
      <c r="Y381" s="10"/>
      <c r="Z381" s="10"/>
    </row>
    <row r="382" spans="1:26" ht="10.199999999999999" x14ac:dyDescent="0.3">
      <c r="A382" s="17"/>
      <c r="B382" s="18"/>
      <c r="C382" s="95"/>
      <c r="D382" s="55"/>
      <c r="E382" s="131"/>
      <c r="F382" s="42"/>
      <c r="G382" s="20"/>
      <c r="H382" s="136"/>
      <c r="I382" s="23"/>
      <c r="J382" s="23"/>
      <c r="K382" s="23"/>
      <c r="L382" s="24"/>
      <c r="M382" s="24"/>
      <c r="N382" s="24"/>
      <c r="O382" s="24"/>
      <c r="P382" s="24"/>
      <c r="Q382" s="24"/>
      <c r="R382" s="24"/>
      <c r="S382" s="46" t="str">
        <f>IF(Project_Tracker[[#This Row],[Project Lead]]="", "", IFERROR(VLOOKUP(Project_Tracker[[#This Row],[Project Lead]], Setting!C:D, 2, 0), ""))</f>
        <v/>
      </c>
      <c r="T382" s="47"/>
      <c r="U382" s="37" t="str">
        <f>Project_Tracker[[#This Row],[Project Lead]]&amp;", "&amp;Project_Tracker[[#This Row],[Team Collaboration]]</f>
        <v xml:space="preserve">, </v>
      </c>
      <c r="V382" s="37"/>
      <c r="W382" s="37"/>
      <c r="X382" s="56"/>
      <c r="Y382" s="10"/>
      <c r="Z382" s="10"/>
    </row>
    <row r="383" spans="1:26" ht="10.199999999999999" x14ac:dyDescent="0.3">
      <c r="A383" s="17"/>
      <c r="B383" s="18"/>
      <c r="C383" s="95"/>
      <c r="D383" s="55"/>
      <c r="E383" s="131"/>
      <c r="F383" s="42"/>
      <c r="G383" s="20"/>
      <c r="H383" s="136"/>
      <c r="I383" s="23"/>
      <c r="J383" s="23"/>
      <c r="K383" s="23"/>
      <c r="L383" s="24"/>
      <c r="M383" s="24"/>
      <c r="N383" s="24"/>
      <c r="O383" s="24"/>
      <c r="P383" s="24"/>
      <c r="Q383" s="24"/>
      <c r="R383" s="24"/>
      <c r="S383" s="46" t="str">
        <f>IF(Project_Tracker[[#This Row],[Project Lead]]="", "", IFERROR(VLOOKUP(Project_Tracker[[#This Row],[Project Lead]], Setting!C:D, 2, 0), ""))</f>
        <v/>
      </c>
      <c r="T383" s="47"/>
      <c r="U383" s="37" t="str">
        <f>Project_Tracker[[#This Row],[Project Lead]]&amp;", "&amp;Project_Tracker[[#This Row],[Team Collaboration]]</f>
        <v xml:space="preserve">, </v>
      </c>
      <c r="V383" s="37"/>
      <c r="W383" s="37"/>
      <c r="X383" s="56"/>
      <c r="Y383" s="10"/>
      <c r="Z383" s="10"/>
    </row>
    <row r="384" spans="1:26" ht="10.199999999999999" x14ac:dyDescent="0.3">
      <c r="A384" s="17"/>
      <c r="B384" s="18"/>
      <c r="C384" s="95"/>
      <c r="D384" s="55"/>
      <c r="E384" s="131"/>
      <c r="F384" s="42"/>
      <c r="G384" s="20"/>
      <c r="H384" s="136"/>
      <c r="I384" s="23"/>
      <c r="J384" s="23"/>
      <c r="K384" s="23"/>
      <c r="L384" s="24"/>
      <c r="M384" s="24"/>
      <c r="N384" s="24"/>
      <c r="O384" s="24"/>
      <c r="P384" s="24"/>
      <c r="Q384" s="24"/>
      <c r="R384" s="24"/>
      <c r="S384" s="46" t="str">
        <f>IF(Project_Tracker[[#This Row],[Project Lead]]="", "", IFERROR(VLOOKUP(Project_Tracker[[#This Row],[Project Lead]], Setting!C:D, 2, 0), ""))</f>
        <v/>
      </c>
      <c r="T384" s="47"/>
      <c r="U384" s="37" t="str">
        <f>Project_Tracker[[#This Row],[Project Lead]]&amp;", "&amp;Project_Tracker[[#This Row],[Team Collaboration]]</f>
        <v xml:space="preserve">, </v>
      </c>
      <c r="V384" s="37"/>
      <c r="W384" s="37"/>
      <c r="X384" s="56"/>
      <c r="Y384" s="10"/>
      <c r="Z384" s="10"/>
    </row>
    <row r="385" spans="1:26" ht="10.199999999999999" x14ac:dyDescent="0.3">
      <c r="A385" s="17"/>
      <c r="B385" s="18"/>
      <c r="C385" s="95"/>
      <c r="D385" s="55"/>
      <c r="E385" s="131"/>
      <c r="F385" s="42"/>
      <c r="G385" s="20"/>
      <c r="H385" s="136"/>
      <c r="I385" s="23"/>
      <c r="J385" s="23"/>
      <c r="K385" s="23"/>
      <c r="L385" s="24"/>
      <c r="M385" s="24"/>
      <c r="N385" s="24"/>
      <c r="O385" s="24"/>
      <c r="P385" s="24"/>
      <c r="Q385" s="24"/>
      <c r="R385" s="24"/>
      <c r="S385" s="46" t="str">
        <f>IF(Project_Tracker[[#This Row],[Project Lead]]="", "", IFERROR(VLOOKUP(Project_Tracker[[#This Row],[Project Lead]], Setting!C:D, 2, 0), ""))</f>
        <v/>
      </c>
      <c r="T385" s="47"/>
      <c r="U385" s="37" t="str">
        <f>Project_Tracker[[#This Row],[Project Lead]]&amp;", "&amp;Project_Tracker[[#This Row],[Team Collaboration]]</f>
        <v xml:space="preserve">, </v>
      </c>
      <c r="V385" s="37"/>
      <c r="W385" s="37"/>
      <c r="X385" s="56"/>
      <c r="Y385" s="10"/>
      <c r="Z385" s="10"/>
    </row>
    <row r="386" spans="1:26" ht="10.199999999999999" x14ac:dyDescent="0.3">
      <c r="A386" s="17"/>
      <c r="B386" s="18"/>
      <c r="C386" s="95"/>
      <c r="D386" s="55"/>
      <c r="E386" s="131"/>
      <c r="F386" s="42"/>
      <c r="G386" s="20"/>
      <c r="H386" s="136"/>
      <c r="I386" s="23"/>
      <c r="J386" s="23"/>
      <c r="K386" s="23"/>
      <c r="L386" s="24"/>
      <c r="M386" s="24"/>
      <c r="N386" s="24"/>
      <c r="O386" s="24"/>
      <c r="P386" s="24"/>
      <c r="Q386" s="24"/>
      <c r="R386" s="24"/>
      <c r="S386" s="46" t="str">
        <f>IF(Project_Tracker[[#This Row],[Project Lead]]="", "", IFERROR(VLOOKUP(Project_Tracker[[#This Row],[Project Lead]], Setting!C:D, 2, 0), ""))</f>
        <v/>
      </c>
      <c r="T386" s="47"/>
      <c r="U386" s="37" t="str">
        <f>Project_Tracker[[#This Row],[Project Lead]]&amp;", "&amp;Project_Tracker[[#This Row],[Team Collaboration]]</f>
        <v xml:space="preserve">, </v>
      </c>
      <c r="V386" s="37"/>
      <c r="W386" s="37"/>
      <c r="X386" s="56"/>
      <c r="Y386" s="10"/>
      <c r="Z386" s="10"/>
    </row>
    <row r="387" spans="1:26" ht="10.199999999999999" x14ac:dyDescent="0.3">
      <c r="A387" s="17"/>
      <c r="B387" s="18"/>
      <c r="C387" s="95"/>
      <c r="D387" s="55"/>
      <c r="E387" s="131"/>
      <c r="F387" s="42"/>
      <c r="G387" s="20"/>
      <c r="H387" s="136"/>
      <c r="I387" s="23"/>
      <c r="J387" s="23"/>
      <c r="K387" s="23"/>
      <c r="L387" s="24"/>
      <c r="M387" s="24"/>
      <c r="N387" s="24"/>
      <c r="O387" s="24"/>
      <c r="P387" s="24"/>
      <c r="Q387" s="24"/>
      <c r="R387" s="24"/>
      <c r="S387" s="46" t="str">
        <f>IF(Project_Tracker[[#This Row],[Project Lead]]="", "", IFERROR(VLOOKUP(Project_Tracker[[#This Row],[Project Lead]], Setting!C:D, 2, 0), ""))</f>
        <v/>
      </c>
      <c r="T387" s="47"/>
      <c r="U387" s="37" t="str">
        <f>Project_Tracker[[#This Row],[Project Lead]]&amp;", "&amp;Project_Tracker[[#This Row],[Team Collaboration]]</f>
        <v xml:space="preserve">, </v>
      </c>
      <c r="V387" s="37"/>
      <c r="W387" s="37"/>
      <c r="X387" s="56"/>
      <c r="Y387" s="10"/>
      <c r="Z387" s="10"/>
    </row>
    <row r="388" spans="1:26" ht="10.199999999999999" x14ac:dyDescent="0.3">
      <c r="A388" s="17"/>
      <c r="B388" s="18"/>
      <c r="C388" s="95"/>
      <c r="D388" s="55"/>
      <c r="E388" s="131"/>
      <c r="F388" s="42"/>
      <c r="G388" s="20"/>
      <c r="H388" s="136"/>
      <c r="I388" s="23"/>
      <c r="J388" s="23"/>
      <c r="K388" s="23"/>
      <c r="L388" s="24"/>
      <c r="M388" s="24"/>
      <c r="N388" s="24"/>
      <c r="O388" s="24"/>
      <c r="P388" s="24"/>
      <c r="Q388" s="24"/>
      <c r="R388" s="24"/>
      <c r="S388" s="46" t="str">
        <f>IF(Project_Tracker[[#This Row],[Project Lead]]="", "", IFERROR(VLOOKUP(Project_Tracker[[#This Row],[Project Lead]], Setting!C:D, 2, 0), ""))</f>
        <v/>
      </c>
      <c r="T388" s="47"/>
      <c r="U388" s="37" t="str">
        <f>Project_Tracker[[#This Row],[Project Lead]]&amp;", "&amp;Project_Tracker[[#This Row],[Team Collaboration]]</f>
        <v xml:space="preserve">, </v>
      </c>
      <c r="V388" s="37"/>
      <c r="W388" s="37"/>
      <c r="X388" s="56"/>
      <c r="Y388" s="10"/>
      <c r="Z388" s="10"/>
    </row>
    <row r="389" spans="1:26" ht="10.199999999999999" x14ac:dyDescent="0.3">
      <c r="A389" s="17"/>
      <c r="B389" s="18"/>
      <c r="C389" s="95"/>
      <c r="D389" s="55"/>
      <c r="E389" s="131"/>
      <c r="F389" s="42"/>
      <c r="G389" s="20"/>
      <c r="H389" s="136"/>
      <c r="I389" s="23"/>
      <c r="J389" s="23"/>
      <c r="K389" s="23"/>
      <c r="L389" s="24"/>
      <c r="M389" s="24"/>
      <c r="N389" s="24"/>
      <c r="O389" s="24"/>
      <c r="P389" s="24"/>
      <c r="Q389" s="24"/>
      <c r="R389" s="24"/>
      <c r="S389" s="46" t="str">
        <f>IF(Project_Tracker[[#This Row],[Project Lead]]="", "", IFERROR(VLOOKUP(Project_Tracker[[#This Row],[Project Lead]], Setting!C:D, 2, 0), ""))</f>
        <v/>
      </c>
      <c r="T389" s="47"/>
      <c r="U389" s="37" t="str">
        <f>Project_Tracker[[#This Row],[Project Lead]]&amp;", "&amp;Project_Tracker[[#This Row],[Team Collaboration]]</f>
        <v xml:space="preserve">, </v>
      </c>
      <c r="V389" s="37"/>
      <c r="W389" s="37"/>
      <c r="X389" s="56"/>
      <c r="Y389" s="10"/>
      <c r="Z389" s="10"/>
    </row>
    <row r="390" spans="1:26" ht="10.199999999999999" x14ac:dyDescent="0.3">
      <c r="A390" s="17"/>
      <c r="B390" s="18"/>
      <c r="C390" s="95"/>
      <c r="D390" s="55"/>
      <c r="E390" s="131"/>
      <c r="F390" s="42"/>
      <c r="G390" s="20"/>
      <c r="H390" s="136"/>
      <c r="I390" s="23"/>
      <c r="J390" s="23"/>
      <c r="K390" s="23"/>
      <c r="L390" s="24"/>
      <c r="M390" s="24"/>
      <c r="N390" s="24"/>
      <c r="O390" s="24"/>
      <c r="P390" s="24"/>
      <c r="Q390" s="24"/>
      <c r="R390" s="24"/>
      <c r="S390" s="46" t="str">
        <f>IF(Project_Tracker[[#This Row],[Project Lead]]="", "", IFERROR(VLOOKUP(Project_Tracker[[#This Row],[Project Lead]], Setting!C:D, 2, 0), ""))</f>
        <v/>
      </c>
      <c r="T390" s="47"/>
      <c r="U390" s="37" t="str">
        <f>Project_Tracker[[#This Row],[Project Lead]]&amp;", "&amp;Project_Tracker[[#This Row],[Team Collaboration]]</f>
        <v xml:space="preserve">, </v>
      </c>
      <c r="V390" s="37"/>
      <c r="W390" s="37"/>
      <c r="X390" s="56"/>
      <c r="Y390" s="10"/>
      <c r="Z390" s="10"/>
    </row>
    <row r="391" spans="1:26" ht="10.199999999999999" x14ac:dyDescent="0.3">
      <c r="A391" s="17"/>
      <c r="B391" s="18"/>
      <c r="C391" s="95"/>
      <c r="D391" s="55"/>
      <c r="E391" s="131"/>
      <c r="F391" s="42"/>
      <c r="G391" s="20"/>
      <c r="H391" s="136"/>
      <c r="I391" s="23"/>
      <c r="J391" s="23"/>
      <c r="K391" s="23"/>
      <c r="L391" s="24"/>
      <c r="M391" s="24"/>
      <c r="N391" s="24"/>
      <c r="O391" s="24"/>
      <c r="P391" s="24"/>
      <c r="Q391" s="24"/>
      <c r="R391" s="24"/>
      <c r="S391" s="46" t="str">
        <f>IF(Project_Tracker[[#This Row],[Project Lead]]="", "", IFERROR(VLOOKUP(Project_Tracker[[#This Row],[Project Lead]], Setting!C:D, 2, 0), ""))</f>
        <v/>
      </c>
      <c r="T391" s="47"/>
      <c r="U391" s="37" t="str">
        <f>Project_Tracker[[#This Row],[Project Lead]]&amp;", "&amp;Project_Tracker[[#This Row],[Team Collaboration]]</f>
        <v xml:space="preserve">, </v>
      </c>
      <c r="V391" s="37"/>
      <c r="W391" s="37"/>
      <c r="X391" s="56"/>
      <c r="Y391" s="10"/>
      <c r="Z391" s="10"/>
    </row>
    <row r="392" spans="1:26" ht="10.199999999999999" x14ac:dyDescent="0.3">
      <c r="A392" s="17"/>
      <c r="B392" s="18"/>
      <c r="C392" s="95"/>
      <c r="D392" s="55"/>
      <c r="E392" s="131"/>
      <c r="F392" s="42"/>
      <c r="G392" s="20"/>
      <c r="H392" s="136"/>
      <c r="I392" s="23"/>
      <c r="J392" s="23"/>
      <c r="K392" s="23"/>
      <c r="L392" s="24"/>
      <c r="M392" s="24"/>
      <c r="N392" s="24"/>
      <c r="O392" s="24"/>
      <c r="P392" s="24"/>
      <c r="Q392" s="24"/>
      <c r="R392" s="24"/>
      <c r="S392" s="46" t="str">
        <f>IF(Project_Tracker[[#This Row],[Project Lead]]="", "", IFERROR(VLOOKUP(Project_Tracker[[#This Row],[Project Lead]], Setting!C:D, 2, 0), ""))</f>
        <v/>
      </c>
      <c r="T392" s="47"/>
      <c r="U392" s="37" t="str">
        <f>Project_Tracker[[#This Row],[Project Lead]]&amp;", "&amp;Project_Tracker[[#This Row],[Team Collaboration]]</f>
        <v xml:space="preserve">, </v>
      </c>
      <c r="V392" s="37"/>
      <c r="W392" s="37"/>
      <c r="X392" s="56"/>
      <c r="Y392" s="10"/>
      <c r="Z392" s="10"/>
    </row>
    <row r="393" spans="1:26" ht="10.199999999999999" x14ac:dyDescent="0.3">
      <c r="A393" s="17"/>
      <c r="B393" s="18"/>
      <c r="C393" s="95"/>
      <c r="D393" s="55"/>
      <c r="E393" s="131"/>
      <c r="F393" s="42"/>
      <c r="G393" s="20"/>
      <c r="H393" s="136"/>
      <c r="I393" s="23"/>
      <c r="J393" s="23"/>
      <c r="K393" s="23"/>
      <c r="L393" s="24"/>
      <c r="M393" s="24"/>
      <c r="N393" s="24"/>
      <c r="O393" s="24"/>
      <c r="P393" s="24"/>
      <c r="Q393" s="24"/>
      <c r="R393" s="24"/>
      <c r="S393" s="46" t="str">
        <f>IF(Project_Tracker[[#This Row],[Project Lead]]="", "", IFERROR(VLOOKUP(Project_Tracker[[#This Row],[Project Lead]], Setting!C:D, 2, 0), ""))</f>
        <v/>
      </c>
      <c r="T393" s="47"/>
      <c r="U393" s="37" t="str">
        <f>Project_Tracker[[#This Row],[Project Lead]]&amp;", "&amp;Project_Tracker[[#This Row],[Team Collaboration]]</f>
        <v xml:space="preserve">, </v>
      </c>
      <c r="V393" s="37"/>
      <c r="W393" s="37"/>
      <c r="X393" s="56"/>
      <c r="Y393" s="10"/>
      <c r="Z393" s="10"/>
    </row>
    <row r="394" spans="1:26" ht="10.199999999999999" x14ac:dyDescent="0.3">
      <c r="A394" s="17"/>
      <c r="B394" s="18"/>
      <c r="C394" s="95"/>
      <c r="D394" s="55"/>
      <c r="E394" s="131"/>
      <c r="F394" s="42"/>
      <c r="G394" s="20"/>
      <c r="H394" s="136"/>
      <c r="I394" s="23"/>
      <c r="J394" s="23"/>
      <c r="K394" s="23"/>
      <c r="L394" s="24"/>
      <c r="M394" s="24"/>
      <c r="N394" s="24"/>
      <c r="O394" s="24"/>
      <c r="P394" s="24"/>
      <c r="Q394" s="24"/>
      <c r="R394" s="24"/>
      <c r="S394" s="46" t="str">
        <f>IF(Project_Tracker[[#This Row],[Project Lead]]="", "", IFERROR(VLOOKUP(Project_Tracker[[#This Row],[Project Lead]], Setting!C:D, 2, 0), ""))</f>
        <v/>
      </c>
      <c r="T394" s="47"/>
      <c r="U394" s="37" t="str">
        <f>Project_Tracker[[#This Row],[Project Lead]]&amp;", "&amp;Project_Tracker[[#This Row],[Team Collaboration]]</f>
        <v xml:space="preserve">, </v>
      </c>
      <c r="V394" s="37"/>
      <c r="W394" s="37"/>
      <c r="X394" s="56"/>
      <c r="Y394" s="10"/>
      <c r="Z394" s="10"/>
    </row>
    <row r="395" spans="1:26" ht="10.199999999999999" x14ac:dyDescent="0.3">
      <c r="A395" s="17"/>
      <c r="B395" s="18"/>
      <c r="C395" s="95"/>
      <c r="D395" s="55"/>
      <c r="E395" s="131"/>
      <c r="F395" s="42"/>
      <c r="G395" s="20"/>
      <c r="H395" s="136"/>
      <c r="I395" s="23"/>
      <c r="J395" s="23"/>
      <c r="K395" s="23"/>
      <c r="L395" s="24"/>
      <c r="M395" s="24"/>
      <c r="N395" s="24"/>
      <c r="O395" s="24"/>
      <c r="P395" s="24"/>
      <c r="Q395" s="24"/>
      <c r="R395" s="24"/>
      <c r="S395" s="46" t="str">
        <f>IF(Project_Tracker[[#This Row],[Project Lead]]="", "", IFERROR(VLOOKUP(Project_Tracker[[#This Row],[Project Lead]], Setting!C:D, 2, 0), ""))</f>
        <v/>
      </c>
      <c r="T395" s="47"/>
      <c r="U395" s="37" t="str">
        <f>Project_Tracker[[#This Row],[Project Lead]]&amp;", "&amp;Project_Tracker[[#This Row],[Team Collaboration]]</f>
        <v xml:space="preserve">, </v>
      </c>
      <c r="V395" s="37"/>
      <c r="W395" s="37"/>
      <c r="X395" s="56"/>
      <c r="Y395" s="10"/>
      <c r="Z395" s="10"/>
    </row>
    <row r="396" spans="1:26" ht="10.199999999999999" x14ac:dyDescent="0.3">
      <c r="A396" s="17"/>
      <c r="B396" s="18"/>
      <c r="C396" s="95"/>
      <c r="D396" s="55"/>
      <c r="E396" s="131"/>
      <c r="F396" s="42"/>
      <c r="G396" s="20"/>
      <c r="H396" s="136"/>
      <c r="I396" s="23"/>
      <c r="J396" s="23"/>
      <c r="K396" s="23"/>
      <c r="L396" s="24"/>
      <c r="M396" s="24"/>
      <c r="N396" s="24"/>
      <c r="O396" s="24"/>
      <c r="P396" s="24"/>
      <c r="Q396" s="24"/>
      <c r="R396" s="24"/>
      <c r="S396" s="46" t="str">
        <f>IF(Project_Tracker[[#This Row],[Project Lead]]="", "", IFERROR(VLOOKUP(Project_Tracker[[#This Row],[Project Lead]], Setting!C:D, 2, 0), ""))</f>
        <v/>
      </c>
      <c r="T396" s="47"/>
      <c r="U396" s="37" t="str">
        <f>Project_Tracker[[#This Row],[Project Lead]]&amp;", "&amp;Project_Tracker[[#This Row],[Team Collaboration]]</f>
        <v xml:space="preserve">, </v>
      </c>
      <c r="V396" s="37"/>
      <c r="W396" s="37"/>
      <c r="X396" s="56"/>
      <c r="Y396" s="10"/>
      <c r="Z396" s="10"/>
    </row>
    <row r="397" spans="1:26" ht="10.199999999999999" x14ac:dyDescent="0.3">
      <c r="A397" s="17"/>
      <c r="B397" s="18"/>
      <c r="C397" s="95"/>
      <c r="D397" s="55"/>
      <c r="E397" s="131"/>
      <c r="F397" s="42"/>
      <c r="G397" s="20"/>
      <c r="H397" s="136"/>
      <c r="I397" s="23"/>
      <c r="J397" s="23"/>
      <c r="K397" s="23"/>
      <c r="L397" s="24"/>
      <c r="M397" s="24"/>
      <c r="N397" s="24"/>
      <c r="O397" s="24"/>
      <c r="P397" s="24"/>
      <c r="Q397" s="24"/>
      <c r="R397" s="24"/>
      <c r="S397" s="46" t="str">
        <f>IF(Project_Tracker[[#This Row],[Project Lead]]="", "", IFERROR(VLOOKUP(Project_Tracker[[#This Row],[Project Lead]], Setting!C:D, 2, 0), ""))</f>
        <v/>
      </c>
      <c r="T397" s="47"/>
      <c r="U397" s="37" t="str">
        <f>Project_Tracker[[#This Row],[Project Lead]]&amp;", "&amp;Project_Tracker[[#This Row],[Team Collaboration]]</f>
        <v xml:space="preserve">, </v>
      </c>
      <c r="V397" s="37"/>
      <c r="W397" s="37"/>
      <c r="X397" s="56"/>
      <c r="Y397" s="10"/>
      <c r="Z397" s="10"/>
    </row>
    <row r="398" spans="1:26" ht="10.199999999999999" x14ac:dyDescent="0.3">
      <c r="A398" s="17"/>
      <c r="B398" s="18"/>
      <c r="C398" s="95"/>
      <c r="D398" s="55"/>
      <c r="E398" s="131"/>
      <c r="F398" s="42"/>
      <c r="G398" s="20"/>
      <c r="H398" s="136"/>
      <c r="I398" s="23"/>
      <c r="J398" s="23"/>
      <c r="K398" s="23"/>
      <c r="L398" s="24"/>
      <c r="M398" s="24"/>
      <c r="N398" s="24"/>
      <c r="O398" s="24"/>
      <c r="P398" s="24"/>
      <c r="Q398" s="24"/>
      <c r="R398" s="24"/>
      <c r="S398" s="46" t="str">
        <f>IF(Project_Tracker[[#This Row],[Project Lead]]="", "", IFERROR(VLOOKUP(Project_Tracker[[#This Row],[Project Lead]], Setting!C:D, 2, 0), ""))</f>
        <v/>
      </c>
      <c r="T398" s="47"/>
      <c r="U398" s="37" t="str">
        <f>Project_Tracker[[#This Row],[Project Lead]]&amp;", "&amp;Project_Tracker[[#This Row],[Team Collaboration]]</f>
        <v xml:space="preserve">, </v>
      </c>
      <c r="V398" s="37"/>
      <c r="W398" s="37"/>
      <c r="X398" s="56"/>
      <c r="Y398" s="10"/>
      <c r="Z398" s="10"/>
    </row>
    <row r="399" spans="1:26" ht="10.199999999999999" x14ac:dyDescent="0.3">
      <c r="A399" s="17"/>
      <c r="B399" s="18"/>
      <c r="C399" s="95"/>
      <c r="D399" s="55"/>
      <c r="E399" s="131"/>
      <c r="F399" s="42"/>
      <c r="G399" s="20"/>
      <c r="H399" s="136"/>
      <c r="I399" s="23"/>
      <c r="J399" s="23"/>
      <c r="K399" s="23"/>
      <c r="L399" s="24"/>
      <c r="M399" s="24"/>
      <c r="N399" s="24"/>
      <c r="O399" s="24"/>
      <c r="P399" s="24"/>
      <c r="Q399" s="24"/>
      <c r="R399" s="24"/>
      <c r="S399" s="46" t="str">
        <f>IF(Project_Tracker[[#This Row],[Project Lead]]="", "", IFERROR(VLOOKUP(Project_Tracker[[#This Row],[Project Lead]], Setting!C:D, 2, 0), ""))</f>
        <v/>
      </c>
      <c r="T399" s="47"/>
      <c r="U399" s="37" t="str">
        <f>Project_Tracker[[#This Row],[Project Lead]]&amp;", "&amp;Project_Tracker[[#This Row],[Team Collaboration]]</f>
        <v xml:space="preserve">, </v>
      </c>
      <c r="V399" s="37"/>
      <c r="W399" s="37"/>
      <c r="X399" s="56"/>
      <c r="Y399" s="10"/>
      <c r="Z399" s="10"/>
    </row>
    <row r="400" spans="1:26" ht="10.199999999999999" x14ac:dyDescent="0.3">
      <c r="A400" s="17"/>
      <c r="B400" s="18"/>
      <c r="C400" s="95"/>
      <c r="D400" s="55"/>
      <c r="E400" s="131"/>
      <c r="F400" s="42"/>
      <c r="G400" s="20"/>
      <c r="H400" s="136"/>
      <c r="I400" s="23"/>
      <c r="J400" s="23"/>
      <c r="K400" s="23"/>
      <c r="L400" s="24"/>
      <c r="M400" s="24"/>
      <c r="N400" s="24"/>
      <c r="O400" s="24"/>
      <c r="P400" s="24"/>
      <c r="Q400" s="24"/>
      <c r="R400" s="24"/>
      <c r="S400" s="46" t="str">
        <f>IF(Project_Tracker[[#This Row],[Project Lead]]="", "", IFERROR(VLOOKUP(Project_Tracker[[#This Row],[Project Lead]], Setting!C:D, 2, 0), ""))</f>
        <v/>
      </c>
      <c r="T400" s="47"/>
      <c r="U400" s="37" t="str">
        <f>Project_Tracker[[#This Row],[Project Lead]]&amp;", "&amp;Project_Tracker[[#This Row],[Team Collaboration]]</f>
        <v xml:space="preserve">, </v>
      </c>
      <c r="V400" s="37"/>
      <c r="W400" s="37"/>
      <c r="X400" s="56"/>
      <c r="Y400" s="10"/>
      <c r="Z400" s="10"/>
    </row>
    <row r="401" spans="1:26" ht="10.199999999999999" x14ac:dyDescent="0.3">
      <c r="A401" s="17"/>
      <c r="B401" s="18"/>
      <c r="C401" s="95"/>
      <c r="D401" s="55"/>
      <c r="E401" s="131"/>
      <c r="F401" s="42"/>
      <c r="G401" s="20"/>
      <c r="H401" s="136"/>
      <c r="I401" s="23"/>
      <c r="J401" s="23"/>
      <c r="K401" s="23"/>
      <c r="L401" s="24"/>
      <c r="M401" s="24"/>
      <c r="N401" s="24"/>
      <c r="O401" s="24"/>
      <c r="P401" s="24"/>
      <c r="Q401" s="24"/>
      <c r="R401" s="24"/>
      <c r="S401" s="46" t="str">
        <f>IF(Project_Tracker[[#This Row],[Project Lead]]="", "", IFERROR(VLOOKUP(Project_Tracker[[#This Row],[Project Lead]], Setting!C:D, 2, 0), ""))</f>
        <v/>
      </c>
      <c r="T401" s="47"/>
      <c r="U401" s="37" t="str">
        <f>Project_Tracker[[#This Row],[Project Lead]]&amp;", "&amp;Project_Tracker[[#This Row],[Team Collaboration]]</f>
        <v xml:space="preserve">, </v>
      </c>
      <c r="V401" s="37"/>
      <c r="W401" s="37"/>
      <c r="X401" s="56"/>
      <c r="Y401" s="10"/>
      <c r="Z401" s="10"/>
    </row>
    <row r="402" spans="1:26" ht="10.199999999999999" x14ac:dyDescent="0.3">
      <c r="A402" s="17"/>
      <c r="B402" s="18"/>
      <c r="C402" s="95"/>
      <c r="D402" s="55"/>
      <c r="E402" s="131"/>
      <c r="F402" s="42"/>
      <c r="G402" s="20"/>
      <c r="H402" s="136"/>
      <c r="I402" s="23"/>
      <c r="J402" s="23"/>
      <c r="K402" s="23"/>
      <c r="L402" s="24"/>
      <c r="M402" s="24"/>
      <c r="N402" s="24"/>
      <c r="O402" s="24"/>
      <c r="P402" s="24"/>
      <c r="Q402" s="24"/>
      <c r="R402" s="24"/>
      <c r="S402" s="46" t="str">
        <f>IF(Project_Tracker[[#This Row],[Project Lead]]="", "", IFERROR(VLOOKUP(Project_Tracker[[#This Row],[Project Lead]], Setting!C:D, 2, 0), ""))</f>
        <v/>
      </c>
      <c r="T402" s="47"/>
      <c r="U402" s="37" t="str">
        <f>Project_Tracker[[#This Row],[Project Lead]]&amp;", "&amp;Project_Tracker[[#This Row],[Team Collaboration]]</f>
        <v xml:space="preserve">, </v>
      </c>
      <c r="V402" s="37"/>
      <c r="W402" s="37"/>
      <c r="X402" s="56"/>
      <c r="Y402" s="10"/>
      <c r="Z402" s="10"/>
    </row>
    <row r="403" spans="1:26" ht="10.199999999999999" x14ac:dyDescent="0.3">
      <c r="A403" s="17"/>
      <c r="B403" s="18"/>
      <c r="C403" s="95"/>
      <c r="D403" s="55"/>
      <c r="E403" s="131"/>
      <c r="F403" s="42"/>
      <c r="G403" s="20"/>
      <c r="H403" s="136"/>
      <c r="I403" s="23"/>
      <c r="J403" s="23"/>
      <c r="K403" s="23"/>
      <c r="L403" s="24"/>
      <c r="M403" s="24"/>
      <c r="N403" s="24"/>
      <c r="O403" s="24"/>
      <c r="P403" s="24"/>
      <c r="Q403" s="24"/>
      <c r="R403" s="24"/>
      <c r="S403" s="46" t="str">
        <f>IF(Project_Tracker[[#This Row],[Project Lead]]="", "", IFERROR(VLOOKUP(Project_Tracker[[#This Row],[Project Lead]], Setting!C:D, 2, 0), ""))</f>
        <v/>
      </c>
      <c r="T403" s="47"/>
      <c r="U403" s="37" t="str">
        <f>Project_Tracker[[#This Row],[Project Lead]]&amp;", "&amp;Project_Tracker[[#This Row],[Team Collaboration]]</f>
        <v xml:space="preserve">, </v>
      </c>
      <c r="V403" s="37"/>
      <c r="W403" s="37"/>
      <c r="X403" s="56"/>
      <c r="Y403" s="10"/>
      <c r="Z403" s="10"/>
    </row>
    <row r="404" spans="1:26" ht="10.199999999999999" x14ac:dyDescent="0.3">
      <c r="A404" s="17"/>
      <c r="B404" s="18"/>
      <c r="C404" s="95"/>
      <c r="D404" s="55"/>
      <c r="E404" s="131"/>
      <c r="F404" s="42"/>
      <c r="G404" s="20"/>
      <c r="H404" s="136"/>
      <c r="I404" s="23"/>
      <c r="J404" s="23"/>
      <c r="K404" s="23"/>
      <c r="L404" s="24"/>
      <c r="M404" s="24"/>
      <c r="N404" s="24"/>
      <c r="O404" s="24"/>
      <c r="P404" s="24"/>
      <c r="Q404" s="24"/>
      <c r="R404" s="24"/>
      <c r="S404" s="46" t="str">
        <f>IF(Project_Tracker[[#This Row],[Project Lead]]="", "", IFERROR(VLOOKUP(Project_Tracker[[#This Row],[Project Lead]], Setting!C:D, 2, 0), ""))</f>
        <v/>
      </c>
      <c r="T404" s="47"/>
      <c r="U404" s="37" t="str">
        <f>Project_Tracker[[#This Row],[Project Lead]]&amp;", "&amp;Project_Tracker[[#This Row],[Team Collaboration]]</f>
        <v xml:space="preserve">, </v>
      </c>
      <c r="V404" s="37"/>
      <c r="W404" s="37"/>
      <c r="X404" s="56"/>
      <c r="Y404" s="10"/>
      <c r="Z404" s="10"/>
    </row>
    <row r="405" spans="1:26" ht="10.199999999999999" x14ac:dyDescent="0.3">
      <c r="A405" s="17"/>
      <c r="B405" s="18"/>
      <c r="C405" s="95"/>
      <c r="D405" s="55"/>
      <c r="E405" s="131"/>
      <c r="F405" s="42"/>
      <c r="G405" s="20"/>
      <c r="H405" s="136"/>
      <c r="I405" s="23"/>
      <c r="J405" s="23"/>
      <c r="K405" s="23"/>
      <c r="L405" s="24"/>
      <c r="M405" s="24"/>
      <c r="N405" s="24"/>
      <c r="O405" s="24"/>
      <c r="P405" s="24"/>
      <c r="Q405" s="24"/>
      <c r="R405" s="24"/>
      <c r="S405" s="46" t="str">
        <f>IF(Project_Tracker[[#This Row],[Project Lead]]="", "", IFERROR(VLOOKUP(Project_Tracker[[#This Row],[Project Lead]], Setting!C:D, 2, 0), ""))</f>
        <v/>
      </c>
      <c r="T405" s="47"/>
      <c r="U405" s="37" t="str">
        <f>Project_Tracker[[#This Row],[Project Lead]]&amp;", "&amp;Project_Tracker[[#This Row],[Team Collaboration]]</f>
        <v xml:space="preserve">, </v>
      </c>
      <c r="V405" s="37"/>
      <c r="W405" s="37"/>
      <c r="X405" s="56"/>
      <c r="Y405" s="10"/>
      <c r="Z405" s="10"/>
    </row>
    <row r="406" spans="1:26" ht="10.199999999999999" x14ac:dyDescent="0.3">
      <c r="A406" s="17"/>
      <c r="B406" s="18"/>
      <c r="C406" s="95"/>
      <c r="D406" s="55"/>
      <c r="E406" s="131"/>
      <c r="F406" s="42"/>
      <c r="G406" s="20"/>
      <c r="H406" s="136"/>
      <c r="I406" s="23"/>
      <c r="J406" s="23"/>
      <c r="K406" s="23"/>
      <c r="L406" s="24"/>
      <c r="M406" s="24"/>
      <c r="N406" s="24"/>
      <c r="O406" s="24"/>
      <c r="P406" s="24"/>
      <c r="Q406" s="24"/>
      <c r="R406" s="24"/>
      <c r="S406" s="46" t="str">
        <f>IF(Project_Tracker[[#This Row],[Project Lead]]="", "", IFERROR(VLOOKUP(Project_Tracker[[#This Row],[Project Lead]], Setting!C:D, 2, 0), ""))</f>
        <v/>
      </c>
      <c r="T406" s="47"/>
      <c r="U406" s="37" t="str">
        <f>Project_Tracker[[#This Row],[Project Lead]]&amp;", "&amp;Project_Tracker[[#This Row],[Team Collaboration]]</f>
        <v xml:space="preserve">, </v>
      </c>
      <c r="V406" s="37"/>
      <c r="W406" s="37"/>
      <c r="X406" s="56"/>
      <c r="Y406" s="10"/>
      <c r="Z406" s="10"/>
    </row>
    <row r="407" spans="1:26" ht="10.199999999999999" x14ac:dyDescent="0.3">
      <c r="A407" s="17"/>
      <c r="B407" s="18"/>
      <c r="C407" s="95"/>
      <c r="D407" s="55"/>
      <c r="E407" s="131"/>
      <c r="F407" s="42"/>
      <c r="G407" s="20"/>
      <c r="H407" s="136"/>
      <c r="I407" s="23"/>
      <c r="J407" s="23"/>
      <c r="K407" s="23"/>
      <c r="L407" s="24"/>
      <c r="M407" s="24"/>
      <c r="N407" s="24"/>
      <c r="O407" s="24"/>
      <c r="P407" s="24"/>
      <c r="Q407" s="24"/>
      <c r="R407" s="24"/>
      <c r="S407" s="46" t="str">
        <f>IF(Project_Tracker[[#This Row],[Project Lead]]="", "", IFERROR(VLOOKUP(Project_Tracker[[#This Row],[Project Lead]], Setting!C:D, 2, 0), ""))</f>
        <v/>
      </c>
      <c r="T407" s="47"/>
      <c r="U407" s="37" t="str">
        <f>Project_Tracker[[#This Row],[Project Lead]]&amp;", "&amp;Project_Tracker[[#This Row],[Team Collaboration]]</f>
        <v xml:space="preserve">, </v>
      </c>
      <c r="V407" s="37"/>
      <c r="W407" s="37"/>
      <c r="X407" s="56"/>
      <c r="Y407" s="10"/>
      <c r="Z407" s="10"/>
    </row>
    <row r="408" spans="1:26" ht="10.199999999999999" x14ac:dyDescent="0.3">
      <c r="A408" s="17"/>
      <c r="B408" s="18"/>
      <c r="C408" s="95"/>
      <c r="D408" s="55"/>
      <c r="E408" s="131"/>
      <c r="F408" s="42"/>
      <c r="G408" s="20"/>
      <c r="H408" s="136"/>
      <c r="I408" s="23"/>
      <c r="J408" s="23"/>
      <c r="K408" s="23"/>
      <c r="L408" s="24"/>
      <c r="M408" s="24"/>
      <c r="N408" s="24"/>
      <c r="O408" s="24"/>
      <c r="P408" s="24"/>
      <c r="Q408" s="24"/>
      <c r="R408" s="24"/>
      <c r="S408" s="46" t="str">
        <f>IF(Project_Tracker[[#This Row],[Project Lead]]="", "", IFERROR(VLOOKUP(Project_Tracker[[#This Row],[Project Lead]], Setting!C:D, 2, 0), ""))</f>
        <v/>
      </c>
      <c r="T408" s="47"/>
      <c r="U408" s="37" t="str">
        <f>Project_Tracker[[#This Row],[Project Lead]]&amp;", "&amp;Project_Tracker[[#This Row],[Team Collaboration]]</f>
        <v xml:space="preserve">, </v>
      </c>
      <c r="V408" s="37"/>
      <c r="W408" s="37"/>
      <c r="X408" s="56"/>
      <c r="Y408" s="10"/>
      <c r="Z408" s="10"/>
    </row>
    <row r="409" spans="1:26" ht="10.199999999999999" x14ac:dyDescent="0.3">
      <c r="A409" s="17"/>
      <c r="B409" s="18"/>
      <c r="C409" s="95"/>
      <c r="D409" s="55"/>
      <c r="E409" s="131"/>
      <c r="F409" s="42"/>
      <c r="G409" s="20"/>
      <c r="H409" s="136"/>
      <c r="I409" s="23"/>
      <c r="J409" s="23"/>
      <c r="K409" s="23"/>
      <c r="L409" s="24"/>
      <c r="M409" s="24"/>
      <c r="N409" s="24"/>
      <c r="O409" s="24"/>
      <c r="P409" s="24"/>
      <c r="Q409" s="24"/>
      <c r="R409" s="24"/>
      <c r="S409" s="46" t="str">
        <f>IF(Project_Tracker[[#This Row],[Project Lead]]="", "", IFERROR(VLOOKUP(Project_Tracker[[#This Row],[Project Lead]], Setting!C:D, 2, 0), ""))</f>
        <v/>
      </c>
      <c r="T409" s="47"/>
      <c r="U409" s="37" t="str">
        <f>Project_Tracker[[#This Row],[Project Lead]]&amp;", "&amp;Project_Tracker[[#This Row],[Team Collaboration]]</f>
        <v xml:space="preserve">, </v>
      </c>
      <c r="V409" s="37"/>
      <c r="W409" s="37"/>
      <c r="X409" s="56"/>
      <c r="Y409" s="10"/>
      <c r="Z409" s="10"/>
    </row>
    <row r="410" spans="1:26" ht="10.199999999999999" x14ac:dyDescent="0.3">
      <c r="A410" s="17"/>
      <c r="B410" s="18"/>
      <c r="C410" s="95"/>
      <c r="D410" s="55"/>
      <c r="E410" s="131"/>
      <c r="F410" s="42"/>
      <c r="G410" s="20"/>
      <c r="H410" s="136"/>
      <c r="I410" s="23"/>
      <c r="J410" s="23"/>
      <c r="K410" s="23"/>
      <c r="L410" s="24"/>
      <c r="M410" s="24"/>
      <c r="N410" s="24"/>
      <c r="O410" s="24"/>
      <c r="P410" s="24"/>
      <c r="Q410" s="24"/>
      <c r="R410" s="24"/>
      <c r="S410" s="46" t="str">
        <f>IF(Project_Tracker[[#This Row],[Project Lead]]="", "", IFERROR(VLOOKUP(Project_Tracker[[#This Row],[Project Lead]], Setting!C:D, 2, 0), ""))</f>
        <v/>
      </c>
      <c r="T410" s="47"/>
      <c r="U410" s="37" t="str">
        <f>Project_Tracker[[#This Row],[Project Lead]]&amp;", "&amp;Project_Tracker[[#This Row],[Team Collaboration]]</f>
        <v xml:space="preserve">, </v>
      </c>
      <c r="V410" s="37"/>
      <c r="W410" s="37"/>
      <c r="X410" s="56"/>
      <c r="Y410" s="10"/>
      <c r="Z410" s="10"/>
    </row>
    <row r="411" spans="1:26" ht="10.199999999999999" x14ac:dyDescent="0.3">
      <c r="A411" s="17"/>
      <c r="B411" s="18"/>
      <c r="C411" s="95"/>
      <c r="D411" s="55"/>
      <c r="E411" s="131"/>
      <c r="F411" s="42"/>
      <c r="G411" s="20"/>
      <c r="H411" s="136"/>
      <c r="I411" s="23"/>
      <c r="J411" s="23"/>
      <c r="K411" s="23"/>
      <c r="L411" s="24"/>
      <c r="M411" s="24"/>
      <c r="N411" s="24"/>
      <c r="O411" s="24"/>
      <c r="P411" s="24"/>
      <c r="Q411" s="24"/>
      <c r="R411" s="24"/>
      <c r="S411" s="46" t="str">
        <f>IF(Project_Tracker[[#This Row],[Project Lead]]="", "", IFERROR(VLOOKUP(Project_Tracker[[#This Row],[Project Lead]], Setting!C:D, 2, 0), ""))</f>
        <v/>
      </c>
      <c r="T411" s="47"/>
      <c r="U411" s="37" t="str">
        <f>Project_Tracker[[#This Row],[Project Lead]]&amp;", "&amp;Project_Tracker[[#This Row],[Team Collaboration]]</f>
        <v xml:space="preserve">, </v>
      </c>
      <c r="V411" s="37"/>
      <c r="W411" s="37"/>
      <c r="X411" s="56"/>
      <c r="Y411" s="10"/>
      <c r="Z411" s="10"/>
    </row>
    <row r="412" spans="1:26" ht="10.199999999999999" x14ac:dyDescent="0.3">
      <c r="A412" s="17"/>
      <c r="B412" s="18"/>
      <c r="C412" s="95"/>
      <c r="D412" s="55"/>
      <c r="E412" s="131"/>
      <c r="F412" s="42"/>
      <c r="G412" s="20"/>
      <c r="H412" s="136"/>
      <c r="I412" s="23"/>
      <c r="J412" s="23"/>
      <c r="K412" s="23"/>
      <c r="L412" s="24"/>
      <c r="M412" s="24"/>
      <c r="N412" s="24"/>
      <c r="O412" s="24"/>
      <c r="P412" s="24"/>
      <c r="Q412" s="24"/>
      <c r="R412" s="24"/>
      <c r="S412" s="46" t="str">
        <f>IF(Project_Tracker[[#This Row],[Project Lead]]="", "", IFERROR(VLOOKUP(Project_Tracker[[#This Row],[Project Lead]], Setting!C:D, 2, 0), ""))</f>
        <v/>
      </c>
      <c r="T412" s="47"/>
      <c r="U412" s="37" t="str">
        <f>Project_Tracker[[#This Row],[Project Lead]]&amp;", "&amp;Project_Tracker[[#This Row],[Team Collaboration]]</f>
        <v xml:space="preserve">, </v>
      </c>
      <c r="V412" s="37"/>
      <c r="W412" s="37"/>
      <c r="X412" s="56"/>
      <c r="Y412" s="10"/>
      <c r="Z412" s="10"/>
    </row>
    <row r="413" spans="1:26" ht="10.199999999999999" x14ac:dyDescent="0.3">
      <c r="A413" s="17"/>
      <c r="B413" s="18"/>
      <c r="C413" s="95"/>
      <c r="D413" s="55"/>
      <c r="E413" s="131"/>
      <c r="F413" s="42"/>
      <c r="G413" s="20"/>
      <c r="H413" s="136"/>
      <c r="I413" s="23"/>
      <c r="J413" s="23"/>
      <c r="K413" s="23"/>
      <c r="L413" s="24"/>
      <c r="M413" s="24"/>
      <c r="N413" s="24"/>
      <c r="O413" s="24"/>
      <c r="P413" s="24"/>
      <c r="Q413" s="24"/>
      <c r="R413" s="24"/>
      <c r="S413" s="46" t="str">
        <f>IF(Project_Tracker[[#This Row],[Project Lead]]="", "", IFERROR(VLOOKUP(Project_Tracker[[#This Row],[Project Lead]], Setting!C:D, 2, 0), ""))</f>
        <v/>
      </c>
      <c r="T413" s="47"/>
      <c r="U413" s="37" t="str">
        <f>Project_Tracker[[#This Row],[Project Lead]]&amp;", "&amp;Project_Tracker[[#This Row],[Team Collaboration]]</f>
        <v xml:space="preserve">, </v>
      </c>
      <c r="V413" s="37"/>
      <c r="W413" s="37"/>
      <c r="X413" s="56"/>
      <c r="Y413" s="10"/>
      <c r="Z413" s="10"/>
    </row>
    <row r="414" spans="1:26" ht="10.199999999999999" x14ac:dyDescent="0.3">
      <c r="A414" s="17"/>
      <c r="B414" s="18"/>
      <c r="C414" s="95"/>
      <c r="D414" s="55"/>
      <c r="E414" s="131"/>
      <c r="F414" s="42"/>
      <c r="G414" s="20"/>
      <c r="H414" s="136"/>
      <c r="I414" s="23"/>
      <c r="J414" s="23"/>
      <c r="K414" s="23"/>
      <c r="L414" s="24"/>
      <c r="M414" s="24"/>
      <c r="N414" s="24"/>
      <c r="O414" s="24"/>
      <c r="P414" s="24"/>
      <c r="Q414" s="24"/>
      <c r="R414" s="24"/>
      <c r="S414" s="46" t="str">
        <f>IF(Project_Tracker[[#This Row],[Project Lead]]="", "", IFERROR(VLOOKUP(Project_Tracker[[#This Row],[Project Lead]], Setting!C:D, 2, 0), ""))</f>
        <v/>
      </c>
      <c r="T414" s="47"/>
      <c r="U414" s="37" t="str">
        <f>Project_Tracker[[#This Row],[Project Lead]]&amp;", "&amp;Project_Tracker[[#This Row],[Team Collaboration]]</f>
        <v xml:space="preserve">, </v>
      </c>
      <c r="V414" s="37"/>
      <c r="W414" s="37"/>
      <c r="X414" s="56"/>
      <c r="Y414" s="10"/>
      <c r="Z414" s="10"/>
    </row>
    <row r="415" spans="1:26" ht="10.199999999999999" x14ac:dyDescent="0.3">
      <c r="A415" s="17"/>
      <c r="B415" s="18"/>
      <c r="C415" s="95"/>
      <c r="D415" s="55"/>
      <c r="E415" s="131"/>
      <c r="F415" s="42"/>
      <c r="G415" s="20"/>
      <c r="H415" s="136"/>
      <c r="I415" s="23"/>
      <c r="J415" s="23"/>
      <c r="K415" s="23"/>
      <c r="L415" s="24"/>
      <c r="M415" s="24"/>
      <c r="N415" s="24"/>
      <c r="O415" s="24"/>
      <c r="P415" s="24"/>
      <c r="Q415" s="24"/>
      <c r="R415" s="24"/>
      <c r="S415" s="46" t="str">
        <f>IF(Project_Tracker[[#This Row],[Project Lead]]="", "", IFERROR(VLOOKUP(Project_Tracker[[#This Row],[Project Lead]], Setting!C:D, 2, 0), ""))</f>
        <v/>
      </c>
      <c r="T415" s="47"/>
      <c r="U415" s="37" t="str">
        <f>Project_Tracker[[#This Row],[Project Lead]]&amp;", "&amp;Project_Tracker[[#This Row],[Team Collaboration]]</f>
        <v xml:space="preserve">, </v>
      </c>
      <c r="V415" s="37"/>
      <c r="W415" s="37"/>
      <c r="X415" s="56"/>
      <c r="Y415" s="10"/>
      <c r="Z415" s="10"/>
    </row>
    <row r="416" spans="1:26" ht="10.199999999999999" x14ac:dyDescent="0.3">
      <c r="A416" s="17"/>
      <c r="B416" s="18"/>
      <c r="C416" s="95"/>
      <c r="D416" s="55"/>
      <c r="E416" s="131"/>
      <c r="F416" s="42"/>
      <c r="G416" s="20"/>
      <c r="H416" s="136"/>
      <c r="I416" s="23"/>
      <c r="J416" s="23"/>
      <c r="K416" s="23"/>
      <c r="L416" s="24"/>
      <c r="M416" s="24"/>
      <c r="N416" s="24"/>
      <c r="O416" s="24"/>
      <c r="P416" s="24"/>
      <c r="Q416" s="24"/>
      <c r="R416" s="24"/>
      <c r="S416" s="46" t="str">
        <f>IF(Project_Tracker[[#This Row],[Project Lead]]="", "", IFERROR(VLOOKUP(Project_Tracker[[#This Row],[Project Lead]], Setting!C:D, 2, 0), ""))</f>
        <v/>
      </c>
      <c r="T416" s="47"/>
      <c r="U416" s="37" t="str">
        <f>Project_Tracker[[#This Row],[Project Lead]]&amp;", "&amp;Project_Tracker[[#This Row],[Team Collaboration]]</f>
        <v xml:space="preserve">, </v>
      </c>
      <c r="V416" s="37"/>
      <c r="W416" s="37"/>
      <c r="X416" s="56"/>
      <c r="Y416" s="10"/>
      <c r="Z416" s="10"/>
    </row>
    <row r="417" spans="1:26" ht="10.199999999999999" x14ac:dyDescent="0.3">
      <c r="A417" s="17"/>
      <c r="B417" s="18"/>
      <c r="C417" s="95"/>
      <c r="D417" s="55"/>
      <c r="E417" s="131"/>
      <c r="F417" s="42"/>
      <c r="G417" s="20"/>
      <c r="H417" s="136"/>
      <c r="I417" s="23"/>
      <c r="J417" s="23"/>
      <c r="K417" s="23"/>
      <c r="L417" s="24"/>
      <c r="M417" s="24"/>
      <c r="N417" s="24"/>
      <c r="O417" s="24"/>
      <c r="P417" s="24"/>
      <c r="Q417" s="24"/>
      <c r="R417" s="24"/>
      <c r="S417" s="46" t="str">
        <f>IF(Project_Tracker[[#This Row],[Project Lead]]="", "", IFERROR(VLOOKUP(Project_Tracker[[#This Row],[Project Lead]], Setting!C:D, 2, 0), ""))</f>
        <v/>
      </c>
      <c r="T417" s="47"/>
      <c r="U417" s="37" t="str">
        <f>Project_Tracker[[#This Row],[Project Lead]]&amp;", "&amp;Project_Tracker[[#This Row],[Team Collaboration]]</f>
        <v xml:space="preserve">, </v>
      </c>
      <c r="V417" s="37"/>
      <c r="W417" s="37"/>
      <c r="X417" s="56"/>
      <c r="Y417" s="10"/>
      <c r="Z417" s="10"/>
    </row>
    <row r="418" spans="1:26" ht="10.199999999999999" x14ac:dyDescent="0.3">
      <c r="A418" s="17"/>
      <c r="B418" s="18"/>
      <c r="C418" s="95"/>
      <c r="D418" s="55"/>
      <c r="E418" s="131"/>
      <c r="F418" s="42"/>
      <c r="G418" s="20"/>
      <c r="H418" s="136"/>
      <c r="I418" s="23"/>
      <c r="J418" s="23"/>
      <c r="K418" s="23"/>
      <c r="L418" s="24"/>
      <c r="M418" s="24"/>
      <c r="N418" s="24"/>
      <c r="O418" s="24"/>
      <c r="P418" s="24"/>
      <c r="Q418" s="24"/>
      <c r="R418" s="24"/>
      <c r="S418" s="46" t="str">
        <f>IF(Project_Tracker[[#This Row],[Project Lead]]="", "", IFERROR(VLOOKUP(Project_Tracker[[#This Row],[Project Lead]], Setting!C:D, 2, 0), ""))</f>
        <v/>
      </c>
      <c r="T418" s="47"/>
      <c r="U418" s="37" t="str">
        <f>Project_Tracker[[#This Row],[Project Lead]]&amp;", "&amp;Project_Tracker[[#This Row],[Team Collaboration]]</f>
        <v xml:space="preserve">, </v>
      </c>
      <c r="V418" s="37"/>
      <c r="W418" s="37"/>
      <c r="X418" s="56"/>
      <c r="Y418" s="10"/>
      <c r="Z418" s="10"/>
    </row>
    <row r="419" spans="1:26" ht="10.199999999999999" x14ac:dyDescent="0.3">
      <c r="A419" s="17"/>
      <c r="B419" s="18"/>
      <c r="C419" s="95"/>
      <c r="D419" s="55"/>
      <c r="E419" s="131"/>
      <c r="F419" s="42"/>
      <c r="G419" s="20"/>
      <c r="H419" s="136"/>
      <c r="I419" s="23"/>
      <c r="J419" s="23"/>
      <c r="K419" s="23"/>
      <c r="L419" s="24"/>
      <c r="M419" s="24"/>
      <c r="N419" s="24"/>
      <c r="O419" s="24"/>
      <c r="P419" s="24"/>
      <c r="Q419" s="24"/>
      <c r="R419" s="24"/>
      <c r="S419" s="46" t="str">
        <f>IF(Project_Tracker[[#This Row],[Project Lead]]="", "", IFERROR(VLOOKUP(Project_Tracker[[#This Row],[Project Lead]], Setting!C:D, 2, 0), ""))</f>
        <v/>
      </c>
      <c r="T419" s="47"/>
      <c r="U419" s="37" t="str">
        <f>Project_Tracker[[#This Row],[Project Lead]]&amp;", "&amp;Project_Tracker[[#This Row],[Team Collaboration]]</f>
        <v xml:space="preserve">, </v>
      </c>
      <c r="V419" s="37"/>
      <c r="W419" s="37"/>
      <c r="X419" s="56"/>
      <c r="Y419" s="10"/>
      <c r="Z419" s="10"/>
    </row>
    <row r="420" spans="1:26" ht="10.199999999999999" x14ac:dyDescent="0.3">
      <c r="A420" s="17"/>
      <c r="B420" s="18"/>
      <c r="C420" s="95"/>
      <c r="D420" s="55"/>
      <c r="E420" s="131"/>
      <c r="F420" s="42"/>
      <c r="G420" s="20"/>
      <c r="H420" s="136"/>
      <c r="I420" s="23"/>
      <c r="J420" s="23"/>
      <c r="K420" s="23"/>
      <c r="L420" s="24"/>
      <c r="M420" s="24"/>
      <c r="N420" s="24"/>
      <c r="O420" s="24"/>
      <c r="P420" s="24"/>
      <c r="Q420" s="24"/>
      <c r="R420" s="24"/>
      <c r="S420" s="46" t="str">
        <f>IF(Project_Tracker[[#This Row],[Project Lead]]="", "", IFERROR(VLOOKUP(Project_Tracker[[#This Row],[Project Lead]], Setting!C:D, 2, 0), ""))</f>
        <v/>
      </c>
      <c r="T420" s="47"/>
      <c r="U420" s="37" t="str">
        <f>Project_Tracker[[#This Row],[Project Lead]]&amp;", "&amp;Project_Tracker[[#This Row],[Team Collaboration]]</f>
        <v xml:space="preserve">, </v>
      </c>
      <c r="V420" s="37"/>
      <c r="W420" s="37"/>
      <c r="X420" s="56"/>
      <c r="Y420" s="10"/>
      <c r="Z420" s="10"/>
    </row>
    <row r="421" spans="1:26" ht="10.199999999999999" x14ac:dyDescent="0.3">
      <c r="A421" s="17"/>
      <c r="B421" s="18"/>
      <c r="C421" s="95"/>
      <c r="D421" s="55"/>
      <c r="E421" s="131"/>
      <c r="F421" s="42"/>
      <c r="G421" s="20"/>
      <c r="H421" s="136"/>
      <c r="I421" s="23"/>
      <c r="J421" s="23"/>
      <c r="K421" s="23"/>
      <c r="L421" s="24"/>
      <c r="M421" s="24"/>
      <c r="N421" s="24"/>
      <c r="O421" s="24"/>
      <c r="P421" s="24"/>
      <c r="Q421" s="24"/>
      <c r="R421" s="24"/>
      <c r="S421" s="46" t="str">
        <f>IF(Project_Tracker[[#This Row],[Project Lead]]="", "", IFERROR(VLOOKUP(Project_Tracker[[#This Row],[Project Lead]], Setting!C:D, 2, 0), ""))</f>
        <v/>
      </c>
      <c r="T421" s="47"/>
      <c r="U421" s="37" t="str">
        <f>Project_Tracker[[#This Row],[Project Lead]]&amp;", "&amp;Project_Tracker[[#This Row],[Team Collaboration]]</f>
        <v xml:space="preserve">, </v>
      </c>
      <c r="V421" s="37"/>
      <c r="W421" s="37"/>
      <c r="X421" s="56"/>
      <c r="Y421" s="10"/>
      <c r="Z421" s="10"/>
    </row>
    <row r="422" spans="1:26" ht="10.199999999999999" x14ac:dyDescent="0.3">
      <c r="A422" s="17"/>
      <c r="B422" s="18"/>
      <c r="C422" s="95"/>
      <c r="D422" s="55"/>
      <c r="E422" s="131"/>
      <c r="F422" s="42"/>
      <c r="G422" s="20"/>
      <c r="H422" s="136"/>
      <c r="I422" s="23"/>
      <c r="J422" s="23"/>
      <c r="K422" s="23"/>
      <c r="L422" s="24"/>
      <c r="M422" s="24"/>
      <c r="N422" s="24"/>
      <c r="O422" s="24"/>
      <c r="P422" s="24"/>
      <c r="Q422" s="24"/>
      <c r="R422" s="24"/>
      <c r="S422" s="46" t="str">
        <f>IF(Project_Tracker[[#This Row],[Project Lead]]="", "", IFERROR(VLOOKUP(Project_Tracker[[#This Row],[Project Lead]], Setting!C:D, 2, 0), ""))</f>
        <v/>
      </c>
      <c r="T422" s="47"/>
      <c r="U422" s="37" t="str">
        <f>Project_Tracker[[#This Row],[Project Lead]]&amp;", "&amp;Project_Tracker[[#This Row],[Team Collaboration]]</f>
        <v xml:space="preserve">, </v>
      </c>
      <c r="V422" s="37"/>
      <c r="W422" s="37"/>
      <c r="X422" s="56"/>
      <c r="Y422" s="10"/>
      <c r="Z422" s="10"/>
    </row>
    <row r="423" spans="1:26" ht="10.199999999999999" x14ac:dyDescent="0.3">
      <c r="A423" s="17"/>
      <c r="B423" s="18"/>
      <c r="C423" s="95"/>
      <c r="D423" s="55"/>
      <c r="E423" s="131"/>
      <c r="F423" s="42"/>
      <c r="G423" s="20"/>
      <c r="H423" s="136"/>
      <c r="I423" s="23"/>
      <c r="J423" s="23"/>
      <c r="K423" s="23"/>
      <c r="L423" s="24"/>
      <c r="M423" s="24"/>
      <c r="N423" s="24"/>
      <c r="O423" s="24"/>
      <c r="P423" s="24"/>
      <c r="Q423" s="24"/>
      <c r="R423" s="24"/>
      <c r="S423" s="46" t="str">
        <f>IF(Project_Tracker[[#This Row],[Project Lead]]="", "", IFERROR(VLOOKUP(Project_Tracker[[#This Row],[Project Lead]], Setting!C:D, 2, 0), ""))</f>
        <v/>
      </c>
      <c r="T423" s="47"/>
      <c r="U423" s="37" t="str">
        <f>Project_Tracker[[#This Row],[Project Lead]]&amp;", "&amp;Project_Tracker[[#This Row],[Team Collaboration]]</f>
        <v xml:space="preserve">, </v>
      </c>
      <c r="V423" s="37"/>
      <c r="W423" s="37"/>
      <c r="X423" s="56"/>
      <c r="Y423" s="10"/>
      <c r="Z423" s="10"/>
    </row>
    <row r="424" spans="1:26" ht="10.199999999999999" x14ac:dyDescent="0.3">
      <c r="A424" s="17"/>
      <c r="B424" s="18"/>
      <c r="C424" s="95"/>
      <c r="D424" s="55"/>
      <c r="E424" s="131"/>
      <c r="F424" s="42"/>
      <c r="G424" s="20"/>
      <c r="H424" s="136"/>
      <c r="I424" s="23"/>
      <c r="J424" s="23"/>
      <c r="K424" s="23"/>
      <c r="L424" s="24"/>
      <c r="M424" s="24"/>
      <c r="N424" s="24"/>
      <c r="O424" s="24"/>
      <c r="P424" s="24"/>
      <c r="Q424" s="24"/>
      <c r="R424" s="24"/>
      <c r="S424" s="46" t="str">
        <f>IF(Project_Tracker[[#This Row],[Project Lead]]="", "", IFERROR(VLOOKUP(Project_Tracker[[#This Row],[Project Lead]], Setting!C:D, 2, 0), ""))</f>
        <v/>
      </c>
      <c r="T424" s="47"/>
      <c r="U424" s="37" t="str">
        <f>Project_Tracker[[#This Row],[Project Lead]]&amp;", "&amp;Project_Tracker[[#This Row],[Team Collaboration]]</f>
        <v xml:space="preserve">, </v>
      </c>
      <c r="V424" s="37"/>
      <c r="W424" s="37"/>
      <c r="X424" s="56"/>
      <c r="Y424" s="10"/>
      <c r="Z424" s="10"/>
    </row>
    <row r="425" spans="1:26" ht="10.199999999999999" x14ac:dyDescent="0.3">
      <c r="A425" s="17"/>
      <c r="B425" s="18"/>
      <c r="C425" s="95"/>
      <c r="D425" s="55"/>
      <c r="E425" s="131"/>
      <c r="F425" s="42"/>
      <c r="G425" s="20"/>
      <c r="H425" s="136"/>
      <c r="I425" s="23"/>
      <c r="J425" s="23"/>
      <c r="K425" s="23"/>
      <c r="L425" s="24"/>
      <c r="M425" s="24"/>
      <c r="N425" s="24"/>
      <c r="O425" s="24"/>
      <c r="P425" s="24"/>
      <c r="Q425" s="24"/>
      <c r="R425" s="24"/>
      <c r="S425" s="46" t="str">
        <f>IF(Project_Tracker[[#This Row],[Project Lead]]="", "", IFERROR(VLOOKUP(Project_Tracker[[#This Row],[Project Lead]], Setting!C:D, 2, 0), ""))</f>
        <v/>
      </c>
      <c r="T425" s="47"/>
      <c r="U425" s="37" t="str">
        <f>Project_Tracker[[#This Row],[Project Lead]]&amp;", "&amp;Project_Tracker[[#This Row],[Team Collaboration]]</f>
        <v xml:space="preserve">, </v>
      </c>
      <c r="V425" s="37"/>
      <c r="W425" s="37"/>
      <c r="X425" s="56"/>
      <c r="Y425" s="10"/>
      <c r="Z425" s="10"/>
    </row>
    <row r="426" spans="1:26" ht="10.199999999999999" x14ac:dyDescent="0.3">
      <c r="A426" s="17"/>
      <c r="B426" s="18"/>
      <c r="C426" s="95"/>
      <c r="D426" s="55"/>
      <c r="E426" s="131"/>
      <c r="F426" s="42"/>
      <c r="G426" s="20"/>
      <c r="H426" s="136"/>
      <c r="I426" s="23"/>
      <c r="J426" s="23"/>
      <c r="K426" s="23"/>
      <c r="L426" s="24"/>
      <c r="M426" s="24"/>
      <c r="N426" s="24"/>
      <c r="O426" s="24"/>
      <c r="P426" s="24"/>
      <c r="Q426" s="24"/>
      <c r="R426" s="24"/>
      <c r="S426" s="46" t="str">
        <f>IF(Project_Tracker[[#This Row],[Project Lead]]="", "", IFERROR(VLOOKUP(Project_Tracker[[#This Row],[Project Lead]], Setting!C:D, 2, 0), ""))</f>
        <v/>
      </c>
      <c r="T426" s="47"/>
      <c r="U426" s="37" t="str">
        <f>Project_Tracker[[#This Row],[Project Lead]]&amp;", "&amp;Project_Tracker[[#This Row],[Team Collaboration]]</f>
        <v xml:space="preserve">, </v>
      </c>
      <c r="V426" s="37"/>
      <c r="W426" s="37"/>
      <c r="X426" s="56"/>
      <c r="Y426" s="10"/>
      <c r="Z426" s="10"/>
    </row>
    <row r="427" spans="1:26" ht="10.199999999999999" x14ac:dyDescent="0.3">
      <c r="A427" s="17"/>
      <c r="B427" s="18"/>
      <c r="C427" s="95"/>
      <c r="D427" s="55"/>
      <c r="E427" s="131"/>
      <c r="F427" s="42"/>
      <c r="G427" s="20"/>
      <c r="H427" s="136"/>
      <c r="I427" s="23"/>
      <c r="J427" s="23"/>
      <c r="K427" s="23"/>
      <c r="L427" s="24"/>
      <c r="M427" s="24"/>
      <c r="N427" s="24"/>
      <c r="O427" s="24"/>
      <c r="P427" s="24"/>
      <c r="Q427" s="24"/>
      <c r="R427" s="24"/>
      <c r="S427" s="46" t="str">
        <f>IF(Project_Tracker[[#This Row],[Project Lead]]="", "", IFERROR(VLOOKUP(Project_Tracker[[#This Row],[Project Lead]], Setting!C:D, 2, 0), ""))</f>
        <v/>
      </c>
      <c r="T427" s="47"/>
      <c r="U427" s="37" t="str">
        <f>Project_Tracker[[#This Row],[Project Lead]]&amp;", "&amp;Project_Tracker[[#This Row],[Team Collaboration]]</f>
        <v xml:space="preserve">, </v>
      </c>
      <c r="V427" s="37"/>
      <c r="W427" s="37"/>
      <c r="X427" s="56"/>
      <c r="Y427" s="10"/>
      <c r="Z427" s="10"/>
    </row>
    <row r="428" spans="1:26" ht="10.199999999999999" x14ac:dyDescent="0.3">
      <c r="A428" s="17"/>
      <c r="B428" s="18"/>
      <c r="C428" s="95"/>
      <c r="D428" s="55"/>
      <c r="E428" s="131"/>
      <c r="F428" s="42"/>
      <c r="G428" s="20"/>
      <c r="H428" s="136"/>
      <c r="I428" s="23"/>
      <c r="J428" s="23"/>
      <c r="K428" s="23"/>
      <c r="L428" s="24"/>
      <c r="M428" s="24"/>
      <c r="N428" s="24"/>
      <c r="O428" s="24"/>
      <c r="P428" s="24"/>
      <c r="Q428" s="24"/>
      <c r="R428" s="24"/>
      <c r="S428" s="46" t="str">
        <f>IF(Project_Tracker[[#This Row],[Project Lead]]="", "", IFERROR(VLOOKUP(Project_Tracker[[#This Row],[Project Lead]], Setting!C:D, 2, 0), ""))</f>
        <v/>
      </c>
      <c r="T428" s="47"/>
      <c r="U428" s="37" t="str">
        <f>Project_Tracker[[#This Row],[Project Lead]]&amp;", "&amp;Project_Tracker[[#This Row],[Team Collaboration]]</f>
        <v xml:space="preserve">, </v>
      </c>
      <c r="V428" s="37"/>
      <c r="W428" s="37"/>
      <c r="X428" s="56"/>
      <c r="Y428" s="10"/>
      <c r="Z428" s="10"/>
    </row>
    <row r="429" spans="1:26" ht="10.199999999999999" x14ac:dyDescent="0.3">
      <c r="A429" s="17"/>
      <c r="B429" s="18"/>
      <c r="C429" s="95"/>
      <c r="D429" s="55"/>
      <c r="E429" s="131"/>
      <c r="F429" s="42"/>
      <c r="G429" s="20"/>
      <c r="H429" s="136"/>
      <c r="I429" s="23"/>
      <c r="J429" s="23"/>
      <c r="K429" s="23"/>
      <c r="L429" s="24"/>
      <c r="M429" s="24"/>
      <c r="N429" s="24"/>
      <c r="O429" s="24"/>
      <c r="P429" s="24"/>
      <c r="Q429" s="24"/>
      <c r="R429" s="24"/>
      <c r="S429" s="46" t="str">
        <f>IF(Project_Tracker[[#This Row],[Project Lead]]="", "", IFERROR(VLOOKUP(Project_Tracker[[#This Row],[Project Lead]], Setting!C:D, 2, 0), ""))</f>
        <v/>
      </c>
      <c r="T429" s="47"/>
      <c r="U429" s="37" t="str">
        <f>Project_Tracker[[#This Row],[Project Lead]]&amp;", "&amp;Project_Tracker[[#This Row],[Team Collaboration]]</f>
        <v xml:space="preserve">, </v>
      </c>
      <c r="V429" s="37"/>
      <c r="W429" s="37"/>
      <c r="X429" s="56"/>
      <c r="Y429" s="10"/>
      <c r="Z429" s="10"/>
    </row>
    <row r="430" spans="1:26" ht="10.199999999999999" x14ac:dyDescent="0.3">
      <c r="A430" s="17"/>
      <c r="B430" s="18"/>
      <c r="C430" s="95"/>
      <c r="D430" s="55"/>
      <c r="E430" s="131"/>
      <c r="F430" s="42"/>
      <c r="G430" s="20"/>
      <c r="H430" s="136"/>
      <c r="I430" s="23"/>
      <c r="J430" s="23"/>
      <c r="K430" s="23"/>
      <c r="L430" s="24"/>
      <c r="M430" s="24"/>
      <c r="N430" s="24"/>
      <c r="O430" s="24"/>
      <c r="P430" s="24"/>
      <c r="Q430" s="24"/>
      <c r="R430" s="24"/>
      <c r="S430" s="46" t="str">
        <f>IF(Project_Tracker[[#This Row],[Project Lead]]="", "", IFERROR(VLOOKUP(Project_Tracker[[#This Row],[Project Lead]], Setting!C:D, 2, 0), ""))</f>
        <v/>
      </c>
      <c r="T430" s="47"/>
      <c r="U430" s="37" t="str">
        <f>Project_Tracker[[#This Row],[Project Lead]]&amp;", "&amp;Project_Tracker[[#This Row],[Team Collaboration]]</f>
        <v xml:space="preserve">, </v>
      </c>
      <c r="V430" s="37"/>
      <c r="W430" s="37"/>
      <c r="X430" s="56"/>
      <c r="Y430" s="10"/>
      <c r="Z430" s="10"/>
    </row>
    <row r="431" spans="1:26" ht="10.199999999999999" x14ac:dyDescent="0.3">
      <c r="A431" s="17"/>
      <c r="B431" s="18"/>
      <c r="C431" s="95"/>
      <c r="D431" s="55"/>
      <c r="E431" s="131"/>
      <c r="F431" s="42"/>
      <c r="G431" s="20"/>
      <c r="H431" s="136"/>
      <c r="I431" s="23"/>
      <c r="J431" s="23"/>
      <c r="K431" s="23"/>
      <c r="L431" s="24"/>
      <c r="M431" s="24"/>
      <c r="N431" s="24"/>
      <c r="O431" s="24"/>
      <c r="P431" s="24"/>
      <c r="Q431" s="24"/>
      <c r="R431" s="24"/>
      <c r="S431" s="46" t="str">
        <f>IF(Project_Tracker[[#This Row],[Project Lead]]="", "", IFERROR(VLOOKUP(Project_Tracker[[#This Row],[Project Lead]], Setting!C:D, 2, 0), ""))</f>
        <v/>
      </c>
      <c r="T431" s="47"/>
      <c r="U431" s="37" t="str">
        <f>Project_Tracker[[#This Row],[Project Lead]]&amp;", "&amp;Project_Tracker[[#This Row],[Team Collaboration]]</f>
        <v xml:space="preserve">, </v>
      </c>
      <c r="V431" s="37"/>
      <c r="W431" s="37"/>
      <c r="X431" s="56"/>
      <c r="Y431" s="10"/>
      <c r="Z431" s="10"/>
    </row>
    <row r="432" spans="1:26" ht="10.199999999999999" x14ac:dyDescent="0.3">
      <c r="A432" s="17"/>
      <c r="B432" s="18"/>
      <c r="C432" s="95"/>
      <c r="D432" s="55"/>
      <c r="E432" s="131"/>
      <c r="F432" s="42"/>
      <c r="G432" s="20"/>
      <c r="H432" s="136"/>
      <c r="I432" s="23"/>
      <c r="J432" s="23"/>
      <c r="K432" s="23"/>
      <c r="L432" s="24"/>
      <c r="M432" s="24"/>
      <c r="N432" s="24"/>
      <c r="O432" s="24"/>
      <c r="P432" s="24"/>
      <c r="Q432" s="24"/>
      <c r="R432" s="24"/>
      <c r="S432" s="46" t="str">
        <f>IF(Project_Tracker[[#This Row],[Project Lead]]="", "", IFERROR(VLOOKUP(Project_Tracker[[#This Row],[Project Lead]], Setting!C:D, 2, 0), ""))</f>
        <v/>
      </c>
      <c r="T432" s="47"/>
      <c r="U432" s="37" t="str">
        <f>Project_Tracker[[#This Row],[Project Lead]]&amp;", "&amp;Project_Tracker[[#This Row],[Team Collaboration]]</f>
        <v xml:space="preserve">, </v>
      </c>
      <c r="V432" s="37"/>
      <c r="W432" s="37"/>
      <c r="X432" s="56"/>
      <c r="Y432" s="10"/>
      <c r="Z432" s="10"/>
    </row>
    <row r="433" spans="1:26" ht="10.199999999999999" x14ac:dyDescent="0.3">
      <c r="A433" s="17"/>
      <c r="B433" s="18"/>
      <c r="C433" s="95"/>
      <c r="D433" s="55"/>
      <c r="E433" s="131"/>
      <c r="F433" s="42"/>
      <c r="G433" s="20"/>
      <c r="H433" s="136"/>
      <c r="I433" s="23"/>
      <c r="J433" s="23"/>
      <c r="K433" s="23"/>
      <c r="L433" s="24"/>
      <c r="M433" s="24"/>
      <c r="N433" s="24"/>
      <c r="O433" s="24"/>
      <c r="P433" s="24"/>
      <c r="Q433" s="24"/>
      <c r="R433" s="24"/>
      <c r="S433" s="46" t="str">
        <f>IF(Project_Tracker[[#This Row],[Project Lead]]="", "", IFERROR(VLOOKUP(Project_Tracker[[#This Row],[Project Lead]], Setting!C:D, 2, 0), ""))</f>
        <v/>
      </c>
      <c r="T433" s="47"/>
      <c r="U433" s="37" t="str">
        <f>Project_Tracker[[#This Row],[Project Lead]]&amp;", "&amp;Project_Tracker[[#This Row],[Team Collaboration]]</f>
        <v xml:space="preserve">, </v>
      </c>
      <c r="V433" s="37"/>
      <c r="W433" s="37"/>
      <c r="X433" s="56"/>
      <c r="Y433" s="10"/>
      <c r="Z433" s="10"/>
    </row>
    <row r="434" spans="1:26" ht="10.199999999999999" x14ac:dyDescent="0.3">
      <c r="A434" s="17"/>
      <c r="B434" s="18"/>
      <c r="C434" s="95"/>
      <c r="D434" s="55"/>
      <c r="E434" s="131"/>
      <c r="F434" s="42"/>
      <c r="G434" s="20"/>
      <c r="H434" s="136"/>
      <c r="I434" s="23"/>
      <c r="J434" s="23"/>
      <c r="K434" s="23"/>
      <c r="L434" s="24"/>
      <c r="M434" s="24"/>
      <c r="N434" s="24"/>
      <c r="O434" s="24"/>
      <c r="P434" s="24"/>
      <c r="Q434" s="24"/>
      <c r="R434" s="24"/>
      <c r="S434" s="46" t="str">
        <f>IF(Project_Tracker[[#This Row],[Project Lead]]="", "", IFERROR(VLOOKUP(Project_Tracker[[#This Row],[Project Lead]], Setting!C:D, 2, 0), ""))</f>
        <v/>
      </c>
      <c r="T434" s="47"/>
      <c r="U434" s="37" t="str">
        <f>Project_Tracker[[#This Row],[Project Lead]]&amp;", "&amp;Project_Tracker[[#This Row],[Team Collaboration]]</f>
        <v xml:space="preserve">, </v>
      </c>
      <c r="V434" s="37"/>
      <c r="W434" s="37"/>
      <c r="X434" s="56"/>
      <c r="Y434" s="10"/>
      <c r="Z434" s="10"/>
    </row>
    <row r="435" spans="1:26" ht="10.199999999999999" x14ac:dyDescent="0.3">
      <c r="A435" s="17"/>
      <c r="B435" s="18"/>
      <c r="C435" s="95"/>
      <c r="D435" s="55"/>
      <c r="E435" s="131"/>
      <c r="F435" s="42"/>
      <c r="G435" s="20"/>
      <c r="H435" s="136"/>
      <c r="I435" s="23"/>
      <c r="J435" s="23"/>
      <c r="K435" s="23"/>
      <c r="L435" s="24"/>
      <c r="M435" s="24"/>
      <c r="N435" s="24"/>
      <c r="O435" s="24"/>
      <c r="P435" s="24"/>
      <c r="Q435" s="24"/>
      <c r="R435" s="24"/>
      <c r="S435" s="46" t="str">
        <f>IF(Project_Tracker[[#This Row],[Project Lead]]="", "", IFERROR(VLOOKUP(Project_Tracker[[#This Row],[Project Lead]], Setting!C:D, 2, 0), ""))</f>
        <v/>
      </c>
      <c r="T435" s="47"/>
      <c r="U435" s="37" t="str">
        <f>Project_Tracker[[#This Row],[Project Lead]]&amp;", "&amp;Project_Tracker[[#This Row],[Team Collaboration]]</f>
        <v xml:space="preserve">, </v>
      </c>
      <c r="V435" s="37"/>
      <c r="W435" s="37"/>
      <c r="X435" s="56"/>
      <c r="Y435" s="10"/>
      <c r="Z435" s="10"/>
    </row>
    <row r="436" spans="1:26" ht="10.199999999999999" x14ac:dyDescent="0.3">
      <c r="A436" s="17"/>
      <c r="B436" s="18"/>
      <c r="C436" s="95"/>
      <c r="D436" s="55"/>
      <c r="E436" s="131"/>
      <c r="F436" s="42"/>
      <c r="G436" s="20"/>
      <c r="H436" s="136"/>
      <c r="I436" s="23"/>
      <c r="J436" s="23"/>
      <c r="K436" s="23"/>
      <c r="L436" s="24"/>
      <c r="M436" s="24"/>
      <c r="N436" s="24"/>
      <c r="O436" s="24"/>
      <c r="P436" s="24"/>
      <c r="Q436" s="24"/>
      <c r="R436" s="24"/>
      <c r="S436" s="46" t="str">
        <f>IF(Project_Tracker[[#This Row],[Project Lead]]="", "", IFERROR(VLOOKUP(Project_Tracker[[#This Row],[Project Lead]], Setting!C:D, 2, 0), ""))</f>
        <v/>
      </c>
      <c r="T436" s="47"/>
      <c r="U436" s="37" t="str">
        <f>Project_Tracker[[#This Row],[Project Lead]]&amp;", "&amp;Project_Tracker[[#This Row],[Team Collaboration]]</f>
        <v xml:space="preserve">, </v>
      </c>
      <c r="V436" s="37"/>
      <c r="W436" s="37"/>
      <c r="X436" s="56"/>
      <c r="Y436" s="10"/>
      <c r="Z436" s="10"/>
    </row>
    <row r="437" spans="1:26" ht="10.199999999999999" x14ac:dyDescent="0.3">
      <c r="A437" s="17"/>
      <c r="B437" s="18"/>
      <c r="C437" s="95"/>
      <c r="D437" s="55"/>
      <c r="E437" s="131"/>
      <c r="F437" s="42"/>
      <c r="G437" s="20"/>
      <c r="H437" s="136"/>
      <c r="I437" s="23"/>
      <c r="J437" s="23"/>
      <c r="K437" s="23"/>
      <c r="L437" s="24"/>
      <c r="M437" s="24"/>
      <c r="N437" s="24"/>
      <c r="O437" s="24"/>
      <c r="P437" s="24"/>
      <c r="Q437" s="24"/>
      <c r="R437" s="24"/>
      <c r="S437" s="46" t="str">
        <f>IF(Project_Tracker[[#This Row],[Project Lead]]="", "", IFERROR(VLOOKUP(Project_Tracker[[#This Row],[Project Lead]], Setting!C:D, 2, 0), ""))</f>
        <v/>
      </c>
      <c r="T437" s="47"/>
      <c r="U437" s="37" t="str">
        <f>Project_Tracker[[#This Row],[Project Lead]]&amp;", "&amp;Project_Tracker[[#This Row],[Team Collaboration]]</f>
        <v xml:space="preserve">, </v>
      </c>
      <c r="V437" s="37"/>
      <c r="W437" s="37"/>
      <c r="X437" s="56"/>
      <c r="Y437" s="10"/>
      <c r="Z437" s="10"/>
    </row>
    <row r="438" spans="1:26" ht="10.199999999999999" x14ac:dyDescent="0.3">
      <c r="A438" s="17"/>
      <c r="B438" s="18"/>
      <c r="C438" s="95"/>
      <c r="D438" s="55"/>
      <c r="E438" s="131"/>
      <c r="F438" s="42"/>
      <c r="G438" s="20"/>
      <c r="H438" s="136"/>
      <c r="I438" s="23"/>
      <c r="J438" s="23"/>
      <c r="K438" s="23"/>
      <c r="L438" s="24"/>
      <c r="M438" s="24"/>
      <c r="N438" s="24"/>
      <c r="O438" s="24"/>
      <c r="P438" s="24"/>
      <c r="Q438" s="24"/>
      <c r="R438" s="24"/>
      <c r="S438" s="46" t="str">
        <f>IF(Project_Tracker[[#This Row],[Project Lead]]="", "", IFERROR(VLOOKUP(Project_Tracker[[#This Row],[Project Lead]], Setting!C:D, 2, 0), ""))</f>
        <v/>
      </c>
      <c r="T438" s="47"/>
      <c r="U438" s="37" t="str">
        <f>Project_Tracker[[#This Row],[Project Lead]]&amp;", "&amp;Project_Tracker[[#This Row],[Team Collaboration]]</f>
        <v xml:space="preserve">, </v>
      </c>
      <c r="V438" s="37"/>
      <c r="W438" s="37"/>
      <c r="X438" s="56"/>
      <c r="Y438" s="10"/>
      <c r="Z438" s="10"/>
    </row>
    <row r="439" spans="1:26" ht="10.199999999999999" x14ac:dyDescent="0.3">
      <c r="A439" s="17"/>
      <c r="B439" s="18"/>
      <c r="C439" s="95"/>
      <c r="D439" s="55"/>
      <c r="E439" s="131"/>
      <c r="F439" s="42"/>
      <c r="G439" s="20"/>
      <c r="H439" s="136"/>
      <c r="I439" s="23"/>
      <c r="J439" s="23"/>
      <c r="K439" s="23"/>
      <c r="L439" s="24"/>
      <c r="M439" s="24"/>
      <c r="N439" s="24"/>
      <c r="O439" s="24"/>
      <c r="P439" s="24"/>
      <c r="Q439" s="24"/>
      <c r="R439" s="24"/>
      <c r="S439" s="46" t="str">
        <f>IF(Project_Tracker[[#This Row],[Project Lead]]="", "", IFERROR(VLOOKUP(Project_Tracker[[#This Row],[Project Lead]], Setting!C:D, 2, 0), ""))</f>
        <v/>
      </c>
      <c r="T439" s="47"/>
      <c r="U439" s="37" t="str">
        <f>Project_Tracker[[#This Row],[Project Lead]]&amp;", "&amp;Project_Tracker[[#This Row],[Team Collaboration]]</f>
        <v xml:space="preserve">, </v>
      </c>
      <c r="V439" s="37"/>
      <c r="W439" s="37"/>
      <c r="X439" s="56"/>
      <c r="Y439" s="10"/>
      <c r="Z439" s="10"/>
    </row>
    <row r="440" spans="1:26" ht="10.199999999999999" x14ac:dyDescent="0.3">
      <c r="A440" s="17"/>
      <c r="B440" s="18"/>
      <c r="C440" s="95"/>
      <c r="D440" s="55"/>
      <c r="E440" s="131"/>
      <c r="F440" s="42"/>
      <c r="G440" s="20"/>
      <c r="H440" s="136"/>
      <c r="I440" s="23"/>
      <c r="J440" s="23"/>
      <c r="K440" s="23"/>
      <c r="L440" s="24"/>
      <c r="M440" s="24"/>
      <c r="N440" s="24"/>
      <c r="O440" s="24"/>
      <c r="P440" s="24"/>
      <c r="Q440" s="24"/>
      <c r="R440" s="24"/>
      <c r="S440" s="46" t="str">
        <f>IF(Project_Tracker[[#This Row],[Project Lead]]="", "", IFERROR(VLOOKUP(Project_Tracker[[#This Row],[Project Lead]], Setting!C:D, 2, 0), ""))</f>
        <v/>
      </c>
      <c r="T440" s="47"/>
      <c r="U440" s="37" t="str">
        <f>Project_Tracker[[#This Row],[Project Lead]]&amp;", "&amp;Project_Tracker[[#This Row],[Team Collaboration]]</f>
        <v xml:space="preserve">, </v>
      </c>
      <c r="V440" s="37"/>
      <c r="W440" s="37"/>
      <c r="X440" s="56"/>
      <c r="Y440" s="10"/>
      <c r="Z440" s="10"/>
    </row>
    <row r="441" spans="1:26" ht="10.199999999999999" x14ac:dyDescent="0.3">
      <c r="A441" s="17"/>
      <c r="B441" s="18"/>
      <c r="C441" s="95"/>
      <c r="D441" s="55"/>
      <c r="E441" s="131"/>
      <c r="F441" s="42"/>
      <c r="G441" s="20"/>
      <c r="H441" s="136"/>
      <c r="I441" s="23"/>
      <c r="J441" s="23"/>
      <c r="K441" s="23"/>
      <c r="L441" s="24"/>
      <c r="M441" s="24"/>
      <c r="N441" s="24"/>
      <c r="O441" s="24"/>
      <c r="P441" s="24"/>
      <c r="Q441" s="24"/>
      <c r="R441" s="24"/>
      <c r="S441" s="46" t="str">
        <f>IF(Project_Tracker[[#This Row],[Project Lead]]="", "", IFERROR(VLOOKUP(Project_Tracker[[#This Row],[Project Lead]], Setting!C:D, 2, 0), ""))</f>
        <v/>
      </c>
      <c r="T441" s="47"/>
      <c r="U441" s="37" t="str">
        <f>Project_Tracker[[#This Row],[Project Lead]]&amp;", "&amp;Project_Tracker[[#This Row],[Team Collaboration]]</f>
        <v xml:space="preserve">, </v>
      </c>
      <c r="V441" s="37"/>
      <c r="W441" s="37"/>
      <c r="X441" s="56"/>
      <c r="Y441" s="10"/>
      <c r="Z441" s="10"/>
    </row>
    <row r="442" spans="1:26" ht="10.199999999999999" x14ac:dyDescent="0.3">
      <c r="A442" s="17"/>
      <c r="B442" s="18"/>
      <c r="C442" s="95"/>
      <c r="D442" s="55"/>
      <c r="E442" s="131"/>
      <c r="F442" s="42"/>
      <c r="G442" s="20"/>
      <c r="H442" s="136"/>
      <c r="I442" s="23"/>
      <c r="J442" s="23"/>
      <c r="K442" s="23"/>
      <c r="L442" s="24"/>
      <c r="M442" s="24"/>
      <c r="N442" s="24"/>
      <c r="O442" s="24"/>
      <c r="P442" s="24"/>
      <c r="Q442" s="24"/>
      <c r="R442" s="24"/>
      <c r="S442" s="46" t="str">
        <f>IF(Project_Tracker[[#This Row],[Project Lead]]="", "", IFERROR(VLOOKUP(Project_Tracker[[#This Row],[Project Lead]], Setting!C:D, 2, 0), ""))</f>
        <v/>
      </c>
      <c r="T442" s="47"/>
      <c r="U442" s="37" t="str">
        <f>Project_Tracker[[#This Row],[Project Lead]]&amp;", "&amp;Project_Tracker[[#This Row],[Team Collaboration]]</f>
        <v xml:space="preserve">, </v>
      </c>
      <c r="V442" s="37"/>
      <c r="W442" s="37"/>
      <c r="X442" s="56"/>
      <c r="Y442" s="10"/>
      <c r="Z442" s="10"/>
    </row>
    <row r="443" spans="1:26" ht="10.199999999999999" x14ac:dyDescent="0.3">
      <c r="A443" s="17"/>
      <c r="B443" s="18"/>
      <c r="C443" s="95"/>
      <c r="D443" s="55"/>
      <c r="E443" s="131"/>
      <c r="F443" s="42"/>
      <c r="G443" s="20"/>
      <c r="H443" s="136"/>
      <c r="I443" s="23"/>
      <c r="J443" s="23"/>
      <c r="K443" s="23"/>
      <c r="L443" s="24"/>
      <c r="M443" s="24"/>
      <c r="N443" s="24"/>
      <c r="O443" s="24"/>
      <c r="P443" s="24"/>
      <c r="Q443" s="24"/>
      <c r="R443" s="24"/>
      <c r="S443" s="46" t="str">
        <f>IF(Project_Tracker[[#This Row],[Project Lead]]="", "", IFERROR(VLOOKUP(Project_Tracker[[#This Row],[Project Lead]], Setting!C:D, 2, 0), ""))</f>
        <v/>
      </c>
      <c r="T443" s="47"/>
      <c r="U443" s="37" t="str">
        <f>Project_Tracker[[#This Row],[Project Lead]]&amp;", "&amp;Project_Tracker[[#This Row],[Team Collaboration]]</f>
        <v xml:space="preserve">, </v>
      </c>
      <c r="V443" s="37"/>
      <c r="W443" s="37"/>
      <c r="X443" s="56"/>
      <c r="Y443" s="10"/>
      <c r="Z443" s="10"/>
    </row>
    <row r="444" spans="1:26" ht="10.199999999999999" x14ac:dyDescent="0.3">
      <c r="A444" s="17"/>
      <c r="B444" s="18"/>
      <c r="C444" s="95"/>
      <c r="D444" s="55"/>
      <c r="E444" s="131"/>
      <c r="F444" s="42"/>
      <c r="G444" s="20"/>
      <c r="H444" s="136"/>
      <c r="I444" s="23"/>
      <c r="J444" s="23"/>
      <c r="K444" s="23"/>
      <c r="L444" s="24"/>
      <c r="M444" s="24"/>
      <c r="N444" s="24"/>
      <c r="O444" s="24"/>
      <c r="P444" s="24"/>
      <c r="Q444" s="24"/>
      <c r="R444" s="24"/>
      <c r="S444" s="46" t="str">
        <f>IF(Project_Tracker[[#This Row],[Project Lead]]="", "", IFERROR(VLOOKUP(Project_Tracker[[#This Row],[Project Lead]], Setting!C:D, 2, 0), ""))</f>
        <v/>
      </c>
      <c r="T444" s="47"/>
      <c r="U444" s="37" t="str">
        <f>Project_Tracker[[#This Row],[Project Lead]]&amp;", "&amp;Project_Tracker[[#This Row],[Team Collaboration]]</f>
        <v xml:space="preserve">, </v>
      </c>
      <c r="V444" s="37"/>
      <c r="W444" s="37"/>
      <c r="X444" s="56"/>
      <c r="Y444" s="10"/>
      <c r="Z444" s="10"/>
    </row>
    <row r="445" spans="1:26" ht="10.199999999999999" x14ac:dyDescent="0.3">
      <c r="A445" s="17"/>
      <c r="B445" s="18"/>
      <c r="C445" s="95"/>
      <c r="D445" s="55"/>
      <c r="E445" s="131"/>
      <c r="F445" s="42"/>
      <c r="G445" s="20"/>
      <c r="H445" s="136"/>
      <c r="I445" s="23"/>
      <c r="J445" s="23"/>
      <c r="K445" s="23"/>
      <c r="L445" s="24"/>
      <c r="M445" s="24"/>
      <c r="N445" s="24"/>
      <c r="O445" s="24"/>
      <c r="P445" s="24"/>
      <c r="Q445" s="24"/>
      <c r="R445" s="24"/>
      <c r="S445" s="46" t="str">
        <f>IF(Project_Tracker[[#This Row],[Project Lead]]="", "", IFERROR(VLOOKUP(Project_Tracker[[#This Row],[Project Lead]], Setting!C:D, 2, 0), ""))</f>
        <v/>
      </c>
      <c r="T445" s="47"/>
      <c r="U445" s="37" t="str">
        <f>Project_Tracker[[#This Row],[Project Lead]]&amp;", "&amp;Project_Tracker[[#This Row],[Team Collaboration]]</f>
        <v xml:space="preserve">, </v>
      </c>
      <c r="V445" s="37"/>
      <c r="W445" s="37"/>
      <c r="X445" s="56"/>
      <c r="Y445" s="10"/>
      <c r="Z445" s="10"/>
    </row>
    <row r="446" spans="1:26" ht="10.199999999999999" x14ac:dyDescent="0.3">
      <c r="A446" s="17"/>
      <c r="B446" s="18"/>
      <c r="C446" s="95"/>
      <c r="D446" s="55"/>
      <c r="E446" s="131"/>
      <c r="F446" s="42"/>
      <c r="G446" s="20"/>
      <c r="H446" s="136"/>
      <c r="I446" s="23"/>
      <c r="J446" s="23"/>
      <c r="K446" s="23"/>
      <c r="L446" s="24"/>
      <c r="M446" s="24"/>
      <c r="N446" s="24"/>
      <c r="O446" s="24"/>
      <c r="P446" s="24"/>
      <c r="Q446" s="24"/>
      <c r="R446" s="24"/>
      <c r="S446" s="46" t="str">
        <f>IF(Project_Tracker[[#This Row],[Project Lead]]="", "", IFERROR(VLOOKUP(Project_Tracker[[#This Row],[Project Lead]], Setting!C:D, 2, 0), ""))</f>
        <v/>
      </c>
      <c r="T446" s="47"/>
      <c r="U446" s="37" t="str">
        <f>Project_Tracker[[#This Row],[Project Lead]]&amp;", "&amp;Project_Tracker[[#This Row],[Team Collaboration]]</f>
        <v xml:space="preserve">, </v>
      </c>
      <c r="V446" s="37"/>
      <c r="W446" s="37"/>
      <c r="X446" s="56"/>
      <c r="Y446" s="10"/>
      <c r="Z446" s="10"/>
    </row>
    <row r="447" spans="1:26" ht="10.199999999999999" x14ac:dyDescent="0.3">
      <c r="A447" s="17"/>
      <c r="B447" s="18"/>
      <c r="C447" s="95"/>
      <c r="D447" s="55"/>
      <c r="E447" s="131"/>
      <c r="F447" s="42"/>
      <c r="G447" s="20"/>
      <c r="H447" s="136"/>
      <c r="I447" s="23"/>
      <c r="J447" s="23"/>
      <c r="K447" s="23"/>
      <c r="L447" s="24"/>
      <c r="M447" s="24"/>
      <c r="N447" s="24"/>
      <c r="O447" s="24"/>
      <c r="P447" s="24"/>
      <c r="Q447" s="24"/>
      <c r="R447" s="24"/>
      <c r="S447" s="46" t="str">
        <f>IF(Project_Tracker[[#This Row],[Project Lead]]="", "", IFERROR(VLOOKUP(Project_Tracker[[#This Row],[Project Lead]], Setting!C:D, 2, 0), ""))</f>
        <v/>
      </c>
      <c r="T447" s="47"/>
      <c r="U447" s="37" t="str">
        <f>Project_Tracker[[#This Row],[Project Lead]]&amp;", "&amp;Project_Tracker[[#This Row],[Team Collaboration]]</f>
        <v xml:space="preserve">, </v>
      </c>
      <c r="V447" s="37"/>
      <c r="W447" s="37"/>
      <c r="X447" s="56"/>
      <c r="Y447" s="10"/>
      <c r="Z447" s="10"/>
    </row>
    <row r="448" spans="1:26" ht="10.199999999999999" x14ac:dyDescent="0.3">
      <c r="A448" s="17"/>
      <c r="B448" s="18"/>
      <c r="C448" s="95"/>
      <c r="D448" s="55"/>
      <c r="E448" s="131"/>
      <c r="F448" s="42"/>
      <c r="G448" s="20"/>
      <c r="H448" s="136"/>
      <c r="I448" s="23"/>
      <c r="J448" s="23"/>
      <c r="K448" s="23"/>
      <c r="L448" s="24"/>
      <c r="M448" s="24"/>
      <c r="N448" s="24"/>
      <c r="O448" s="24"/>
      <c r="P448" s="24"/>
      <c r="Q448" s="24"/>
      <c r="R448" s="24"/>
      <c r="S448" s="46" t="str">
        <f>IF(Project_Tracker[[#This Row],[Project Lead]]="", "", IFERROR(VLOOKUP(Project_Tracker[[#This Row],[Project Lead]], Setting!C:D, 2, 0), ""))</f>
        <v/>
      </c>
      <c r="T448" s="47"/>
      <c r="U448" s="37" t="str">
        <f>Project_Tracker[[#This Row],[Project Lead]]&amp;", "&amp;Project_Tracker[[#This Row],[Team Collaboration]]</f>
        <v xml:space="preserve">, </v>
      </c>
      <c r="V448" s="37"/>
      <c r="W448" s="37"/>
      <c r="X448" s="56"/>
      <c r="Y448" s="10"/>
      <c r="Z448" s="10"/>
    </row>
    <row r="449" spans="1:26" ht="10.199999999999999" x14ac:dyDescent="0.3">
      <c r="A449" s="17"/>
      <c r="B449" s="18"/>
      <c r="C449" s="95"/>
      <c r="D449" s="55"/>
      <c r="E449" s="131"/>
      <c r="F449" s="42"/>
      <c r="G449" s="20"/>
      <c r="H449" s="136"/>
      <c r="I449" s="23"/>
      <c r="J449" s="23"/>
      <c r="K449" s="23"/>
      <c r="L449" s="24"/>
      <c r="M449" s="24"/>
      <c r="N449" s="24"/>
      <c r="O449" s="24"/>
      <c r="P449" s="24"/>
      <c r="Q449" s="24"/>
      <c r="R449" s="24"/>
      <c r="S449" s="46" t="str">
        <f>IF(Project_Tracker[[#This Row],[Project Lead]]="", "", IFERROR(VLOOKUP(Project_Tracker[[#This Row],[Project Lead]], Setting!C:D, 2, 0), ""))</f>
        <v/>
      </c>
      <c r="T449" s="47"/>
      <c r="U449" s="37" t="str">
        <f>Project_Tracker[[#This Row],[Project Lead]]&amp;", "&amp;Project_Tracker[[#This Row],[Team Collaboration]]</f>
        <v xml:space="preserve">, </v>
      </c>
      <c r="V449" s="37"/>
      <c r="W449" s="37"/>
      <c r="X449" s="56"/>
      <c r="Y449" s="10"/>
      <c r="Z449" s="10"/>
    </row>
    <row r="450" spans="1:26" ht="10.199999999999999" x14ac:dyDescent="0.3">
      <c r="A450" s="17"/>
      <c r="B450" s="18"/>
      <c r="C450" s="95"/>
      <c r="D450" s="55"/>
      <c r="E450" s="131"/>
      <c r="F450" s="42"/>
      <c r="G450" s="20"/>
      <c r="H450" s="136"/>
      <c r="I450" s="23"/>
      <c r="J450" s="23"/>
      <c r="K450" s="23"/>
      <c r="L450" s="24"/>
      <c r="M450" s="24"/>
      <c r="N450" s="24"/>
      <c r="O450" s="24"/>
      <c r="P450" s="24"/>
      <c r="Q450" s="24"/>
      <c r="R450" s="24"/>
      <c r="S450" s="46" t="str">
        <f>IF(Project_Tracker[[#This Row],[Project Lead]]="", "", IFERROR(VLOOKUP(Project_Tracker[[#This Row],[Project Lead]], Setting!C:D, 2, 0), ""))</f>
        <v/>
      </c>
      <c r="T450" s="47"/>
      <c r="U450" s="37" t="str">
        <f>Project_Tracker[[#This Row],[Project Lead]]&amp;", "&amp;Project_Tracker[[#This Row],[Team Collaboration]]</f>
        <v xml:space="preserve">, </v>
      </c>
      <c r="V450" s="37"/>
      <c r="W450" s="37"/>
      <c r="X450" s="56"/>
      <c r="Y450" s="10"/>
      <c r="Z450" s="10"/>
    </row>
    <row r="451" spans="1:26" ht="10.199999999999999" x14ac:dyDescent="0.3">
      <c r="A451" s="17"/>
      <c r="B451" s="18"/>
      <c r="C451" s="95"/>
      <c r="D451" s="55"/>
      <c r="E451" s="131"/>
      <c r="F451" s="42"/>
      <c r="G451" s="20"/>
      <c r="H451" s="136"/>
      <c r="I451" s="23"/>
      <c r="J451" s="23"/>
      <c r="K451" s="23"/>
      <c r="L451" s="24"/>
      <c r="M451" s="24"/>
      <c r="N451" s="24"/>
      <c r="O451" s="24"/>
      <c r="P451" s="24"/>
      <c r="Q451" s="24"/>
      <c r="R451" s="24"/>
      <c r="S451" s="46" t="str">
        <f>IF(Project_Tracker[[#This Row],[Project Lead]]="", "", IFERROR(VLOOKUP(Project_Tracker[[#This Row],[Project Lead]], Setting!C:D, 2, 0), ""))</f>
        <v/>
      </c>
      <c r="T451" s="47"/>
      <c r="U451" s="37" t="str">
        <f>Project_Tracker[[#This Row],[Project Lead]]&amp;", "&amp;Project_Tracker[[#This Row],[Team Collaboration]]</f>
        <v xml:space="preserve">, </v>
      </c>
      <c r="V451" s="37"/>
      <c r="W451" s="37"/>
      <c r="X451" s="56"/>
      <c r="Y451" s="10"/>
      <c r="Z451" s="10"/>
    </row>
    <row r="452" spans="1:26" ht="10.199999999999999" x14ac:dyDescent="0.3">
      <c r="A452" s="17"/>
      <c r="B452" s="18"/>
      <c r="C452" s="95"/>
      <c r="D452" s="55"/>
      <c r="E452" s="131"/>
      <c r="F452" s="42"/>
      <c r="G452" s="20"/>
      <c r="H452" s="136"/>
      <c r="I452" s="23"/>
      <c r="J452" s="23"/>
      <c r="K452" s="23"/>
      <c r="L452" s="24"/>
      <c r="M452" s="24"/>
      <c r="N452" s="24"/>
      <c r="O452" s="24"/>
      <c r="P452" s="24"/>
      <c r="Q452" s="24"/>
      <c r="R452" s="24"/>
      <c r="S452" s="46" t="str">
        <f>IF(Project_Tracker[[#This Row],[Project Lead]]="", "", IFERROR(VLOOKUP(Project_Tracker[[#This Row],[Project Lead]], Setting!C:D, 2, 0), ""))</f>
        <v/>
      </c>
      <c r="T452" s="47"/>
      <c r="U452" s="37" t="str">
        <f>Project_Tracker[[#This Row],[Project Lead]]&amp;", "&amp;Project_Tracker[[#This Row],[Team Collaboration]]</f>
        <v xml:space="preserve">, </v>
      </c>
      <c r="V452" s="37"/>
      <c r="W452" s="37"/>
      <c r="X452" s="56"/>
      <c r="Y452" s="10"/>
      <c r="Z452" s="10"/>
    </row>
    <row r="453" spans="1:26" ht="10.199999999999999" x14ac:dyDescent="0.3">
      <c r="A453" s="17"/>
      <c r="B453" s="18"/>
      <c r="C453" s="95"/>
      <c r="D453" s="55"/>
      <c r="E453" s="131"/>
      <c r="F453" s="42"/>
      <c r="G453" s="20"/>
      <c r="H453" s="136"/>
      <c r="I453" s="23"/>
      <c r="J453" s="23"/>
      <c r="K453" s="23"/>
      <c r="L453" s="24"/>
      <c r="M453" s="24"/>
      <c r="N453" s="24"/>
      <c r="O453" s="24"/>
      <c r="P453" s="24"/>
      <c r="Q453" s="24"/>
      <c r="R453" s="24"/>
      <c r="S453" s="46" t="str">
        <f>IF(Project_Tracker[[#This Row],[Project Lead]]="", "", IFERROR(VLOOKUP(Project_Tracker[[#This Row],[Project Lead]], Setting!C:D, 2, 0), ""))</f>
        <v/>
      </c>
      <c r="T453" s="47"/>
      <c r="U453" s="37" t="str">
        <f>Project_Tracker[[#This Row],[Project Lead]]&amp;", "&amp;Project_Tracker[[#This Row],[Team Collaboration]]</f>
        <v xml:space="preserve">, </v>
      </c>
      <c r="V453" s="37"/>
      <c r="W453" s="37"/>
      <c r="X453" s="56"/>
      <c r="Y453" s="10"/>
      <c r="Z453" s="10"/>
    </row>
    <row r="454" spans="1:26" ht="10.199999999999999" x14ac:dyDescent="0.3">
      <c r="A454" s="17"/>
      <c r="B454" s="18"/>
      <c r="C454" s="95"/>
      <c r="D454" s="55"/>
      <c r="E454" s="131"/>
      <c r="F454" s="42"/>
      <c r="G454" s="20"/>
      <c r="H454" s="136"/>
      <c r="I454" s="23"/>
      <c r="J454" s="23"/>
      <c r="K454" s="23"/>
      <c r="L454" s="24"/>
      <c r="M454" s="24"/>
      <c r="N454" s="24"/>
      <c r="O454" s="24"/>
      <c r="P454" s="24"/>
      <c r="Q454" s="24"/>
      <c r="R454" s="24"/>
      <c r="S454" s="46" t="str">
        <f>IF(Project_Tracker[[#This Row],[Project Lead]]="", "", IFERROR(VLOOKUP(Project_Tracker[[#This Row],[Project Lead]], Setting!C:D, 2, 0), ""))</f>
        <v/>
      </c>
      <c r="T454" s="47"/>
      <c r="U454" s="37" t="str">
        <f>Project_Tracker[[#This Row],[Project Lead]]&amp;", "&amp;Project_Tracker[[#This Row],[Team Collaboration]]</f>
        <v xml:space="preserve">, </v>
      </c>
      <c r="V454" s="37"/>
      <c r="W454" s="37"/>
      <c r="X454" s="56"/>
      <c r="Y454" s="10"/>
      <c r="Z454" s="10"/>
    </row>
    <row r="455" spans="1:26" ht="10.199999999999999" x14ac:dyDescent="0.3">
      <c r="A455" s="17"/>
      <c r="B455" s="18"/>
      <c r="C455" s="95"/>
      <c r="D455" s="55"/>
      <c r="E455" s="131"/>
      <c r="F455" s="42"/>
      <c r="G455" s="20"/>
      <c r="H455" s="136"/>
      <c r="I455" s="23"/>
      <c r="J455" s="23"/>
      <c r="K455" s="23"/>
      <c r="L455" s="24"/>
      <c r="M455" s="24"/>
      <c r="N455" s="24"/>
      <c r="O455" s="24"/>
      <c r="P455" s="24"/>
      <c r="Q455" s="24"/>
      <c r="R455" s="24"/>
      <c r="S455" s="46" t="str">
        <f>IF(Project_Tracker[[#This Row],[Project Lead]]="", "", IFERROR(VLOOKUP(Project_Tracker[[#This Row],[Project Lead]], Setting!C:D, 2, 0), ""))</f>
        <v/>
      </c>
      <c r="T455" s="47"/>
      <c r="U455" s="37" t="str">
        <f>Project_Tracker[[#This Row],[Project Lead]]&amp;", "&amp;Project_Tracker[[#This Row],[Team Collaboration]]</f>
        <v xml:space="preserve">, </v>
      </c>
      <c r="V455" s="37"/>
      <c r="W455" s="37"/>
      <c r="X455" s="56"/>
      <c r="Y455" s="10"/>
      <c r="Z455" s="10"/>
    </row>
    <row r="456" spans="1:26" ht="10.199999999999999" x14ac:dyDescent="0.3">
      <c r="A456" s="17"/>
      <c r="B456" s="18"/>
      <c r="C456" s="95"/>
      <c r="D456" s="55"/>
      <c r="E456" s="131"/>
      <c r="F456" s="42"/>
      <c r="G456" s="20"/>
      <c r="H456" s="136"/>
      <c r="I456" s="23"/>
      <c r="J456" s="23"/>
      <c r="K456" s="23"/>
      <c r="L456" s="24"/>
      <c r="M456" s="24"/>
      <c r="N456" s="24"/>
      <c r="O456" s="24"/>
      <c r="P456" s="24"/>
      <c r="Q456" s="24"/>
      <c r="R456" s="24"/>
      <c r="S456" s="46" t="str">
        <f>IF(Project_Tracker[[#This Row],[Project Lead]]="", "", IFERROR(VLOOKUP(Project_Tracker[[#This Row],[Project Lead]], Setting!C:D, 2, 0), ""))</f>
        <v/>
      </c>
      <c r="T456" s="47"/>
      <c r="U456" s="37" t="str">
        <f>Project_Tracker[[#This Row],[Project Lead]]&amp;", "&amp;Project_Tracker[[#This Row],[Team Collaboration]]</f>
        <v xml:space="preserve">, </v>
      </c>
      <c r="V456" s="37"/>
      <c r="W456" s="37"/>
      <c r="X456" s="56"/>
      <c r="Y456" s="10"/>
      <c r="Z456" s="10"/>
    </row>
    <row r="457" spans="1:26" ht="10.199999999999999" x14ac:dyDescent="0.3">
      <c r="A457" s="17"/>
      <c r="B457" s="18"/>
      <c r="C457" s="95"/>
      <c r="D457" s="55"/>
      <c r="E457" s="131"/>
      <c r="F457" s="42"/>
      <c r="G457" s="20"/>
      <c r="H457" s="136"/>
      <c r="I457" s="23"/>
      <c r="J457" s="23"/>
      <c r="K457" s="23"/>
      <c r="L457" s="24"/>
      <c r="M457" s="24"/>
      <c r="N457" s="24"/>
      <c r="O457" s="24"/>
      <c r="P457" s="24"/>
      <c r="Q457" s="24"/>
      <c r="R457" s="24"/>
      <c r="S457" s="46" t="str">
        <f>IF(Project_Tracker[[#This Row],[Project Lead]]="", "", IFERROR(VLOOKUP(Project_Tracker[[#This Row],[Project Lead]], Setting!C:D, 2, 0), ""))</f>
        <v/>
      </c>
      <c r="T457" s="47"/>
      <c r="U457" s="37" t="str">
        <f>Project_Tracker[[#This Row],[Project Lead]]&amp;", "&amp;Project_Tracker[[#This Row],[Team Collaboration]]</f>
        <v xml:space="preserve">, </v>
      </c>
      <c r="V457" s="37"/>
      <c r="W457" s="37"/>
      <c r="X457" s="56"/>
      <c r="Y457" s="10"/>
      <c r="Z457" s="10"/>
    </row>
    <row r="458" spans="1:26" ht="10.199999999999999" x14ac:dyDescent="0.3">
      <c r="A458" s="17"/>
      <c r="B458" s="18"/>
      <c r="C458" s="95"/>
      <c r="D458" s="55"/>
      <c r="E458" s="131"/>
      <c r="F458" s="42"/>
      <c r="G458" s="20"/>
      <c r="H458" s="136"/>
      <c r="I458" s="23"/>
      <c r="J458" s="23"/>
      <c r="K458" s="23"/>
      <c r="L458" s="24"/>
      <c r="M458" s="24"/>
      <c r="N458" s="24"/>
      <c r="O458" s="24"/>
      <c r="P458" s="24"/>
      <c r="Q458" s="24"/>
      <c r="R458" s="24"/>
      <c r="S458" s="46" t="str">
        <f>IF(Project_Tracker[[#This Row],[Project Lead]]="", "", IFERROR(VLOOKUP(Project_Tracker[[#This Row],[Project Lead]], Setting!C:D, 2, 0), ""))</f>
        <v/>
      </c>
      <c r="T458" s="47"/>
      <c r="U458" s="37" t="str">
        <f>Project_Tracker[[#This Row],[Project Lead]]&amp;", "&amp;Project_Tracker[[#This Row],[Team Collaboration]]</f>
        <v xml:space="preserve">, </v>
      </c>
      <c r="V458" s="37"/>
      <c r="W458" s="37"/>
      <c r="X458" s="56"/>
      <c r="Y458" s="10"/>
      <c r="Z458" s="10"/>
    </row>
    <row r="459" spans="1:26" ht="10.199999999999999" x14ac:dyDescent="0.3">
      <c r="A459" s="17"/>
      <c r="B459" s="18"/>
      <c r="C459" s="95"/>
      <c r="D459" s="55"/>
      <c r="E459" s="131"/>
      <c r="F459" s="42"/>
      <c r="G459" s="20"/>
      <c r="H459" s="136"/>
      <c r="I459" s="23"/>
      <c r="J459" s="23"/>
      <c r="K459" s="23"/>
      <c r="L459" s="24"/>
      <c r="M459" s="24"/>
      <c r="N459" s="24"/>
      <c r="O459" s="24"/>
      <c r="P459" s="24"/>
      <c r="Q459" s="24"/>
      <c r="R459" s="24"/>
      <c r="S459" s="46" t="str">
        <f>IF(Project_Tracker[[#This Row],[Project Lead]]="", "", IFERROR(VLOOKUP(Project_Tracker[[#This Row],[Project Lead]], Setting!C:D, 2, 0), ""))</f>
        <v/>
      </c>
      <c r="T459" s="47"/>
      <c r="U459" s="37" t="str">
        <f>Project_Tracker[[#This Row],[Project Lead]]&amp;", "&amp;Project_Tracker[[#This Row],[Team Collaboration]]</f>
        <v xml:space="preserve">, </v>
      </c>
      <c r="V459" s="37"/>
      <c r="W459" s="37"/>
      <c r="X459" s="56"/>
      <c r="Y459" s="10"/>
      <c r="Z459" s="10"/>
    </row>
    <row r="460" spans="1:26" ht="10.199999999999999" x14ac:dyDescent="0.3">
      <c r="A460" s="17"/>
      <c r="B460" s="18"/>
      <c r="C460" s="95"/>
      <c r="D460" s="55"/>
      <c r="E460" s="131"/>
      <c r="F460" s="42"/>
      <c r="G460" s="20"/>
      <c r="H460" s="136"/>
      <c r="I460" s="23"/>
      <c r="J460" s="23"/>
      <c r="K460" s="23"/>
      <c r="L460" s="24"/>
      <c r="M460" s="24"/>
      <c r="N460" s="24"/>
      <c r="O460" s="24"/>
      <c r="P460" s="24"/>
      <c r="Q460" s="24"/>
      <c r="R460" s="24"/>
      <c r="S460" s="46" t="str">
        <f>IF(Project_Tracker[[#This Row],[Project Lead]]="", "", IFERROR(VLOOKUP(Project_Tracker[[#This Row],[Project Lead]], Setting!C:D, 2, 0), ""))</f>
        <v/>
      </c>
      <c r="T460" s="47"/>
      <c r="U460" s="37" t="str">
        <f>Project_Tracker[[#This Row],[Project Lead]]&amp;", "&amp;Project_Tracker[[#This Row],[Team Collaboration]]</f>
        <v xml:space="preserve">, </v>
      </c>
      <c r="V460" s="37"/>
      <c r="W460" s="37"/>
      <c r="X460" s="56"/>
      <c r="Y460" s="10"/>
      <c r="Z460" s="10"/>
    </row>
    <row r="461" spans="1:26" ht="10.199999999999999" x14ac:dyDescent="0.3">
      <c r="A461" s="17"/>
      <c r="B461" s="18"/>
      <c r="C461" s="95"/>
      <c r="D461" s="55"/>
      <c r="E461" s="131"/>
      <c r="F461" s="42"/>
      <c r="G461" s="20"/>
      <c r="H461" s="136"/>
      <c r="I461" s="23"/>
      <c r="J461" s="23"/>
      <c r="K461" s="23"/>
      <c r="L461" s="24"/>
      <c r="M461" s="24"/>
      <c r="N461" s="24"/>
      <c r="O461" s="24"/>
      <c r="P461" s="24"/>
      <c r="Q461" s="24"/>
      <c r="R461" s="24"/>
      <c r="S461" s="46" t="str">
        <f>IF(Project_Tracker[[#This Row],[Project Lead]]="", "", IFERROR(VLOOKUP(Project_Tracker[[#This Row],[Project Lead]], Setting!C:D, 2, 0), ""))</f>
        <v/>
      </c>
      <c r="T461" s="47"/>
      <c r="U461" s="37" t="str">
        <f>Project_Tracker[[#This Row],[Project Lead]]&amp;", "&amp;Project_Tracker[[#This Row],[Team Collaboration]]</f>
        <v xml:space="preserve">, </v>
      </c>
      <c r="V461" s="37"/>
      <c r="W461" s="37"/>
      <c r="X461" s="56"/>
      <c r="Y461" s="10"/>
      <c r="Z461" s="10"/>
    </row>
    <row r="462" spans="1:26" ht="10.199999999999999" x14ac:dyDescent="0.3">
      <c r="A462" s="17"/>
      <c r="B462" s="18"/>
      <c r="C462" s="95"/>
      <c r="D462" s="55"/>
      <c r="E462" s="131"/>
      <c r="F462" s="42"/>
      <c r="G462" s="20"/>
      <c r="H462" s="136"/>
      <c r="I462" s="23"/>
      <c r="J462" s="23"/>
      <c r="K462" s="23"/>
      <c r="L462" s="24"/>
      <c r="M462" s="24"/>
      <c r="N462" s="24"/>
      <c r="O462" s="24"/>
      <c r="P462" s="24"/>
      <c r="Q462" s="24"/>
      <c r="R462" s="24"/>
      <c r="S462" s="46" t="str">
        <f>IF(Project_Tracker[[#This Row],[Project Lead]]="", "", IFERROR(VLOOKUP(Project_Tracker[[#This Row],[Project Lead]], Setting!C:D, 2, 0), ""))</f>
        <v/>
      </c>
      <c r="T462" s="47"/>
      <c r="U462" s="37" t="str">
        <f>Project_Tracker[[#This Row],[Project Lead]]&amp;", "&amp;Project_Tracker[[#This Row],[Team Collaboration]]</f>
        <v xml:space="preserve">, </v>
      </c>
      <c r="V462" s="37"/>
      <c r="W462" s="37"/>
      <c r="X462" s="56"/>
      <c r="Y462" s="10"/>
      <c r="Z462" s="10"/>
    </row>
    <row r="463" spans="1:26" ht="10.199999999999999" x14ac:dyDescent="0.3">
      <c r="A463" s="17"/>
      <c r="B463" s="18"/>
      <c r="C463" s="95"/>
      <c r="D463" s="55"/>
      <c r="E463" s="131"/>
      <c r="F463" s="42"/>
      <c r="G463" s="20"/>
      <c r="H463" s="136"/>
      <c r="I463" s="23"/>
      <c r="J463" s="23"/>
      <c r="K463" s="23"/>
      <c r="L463" s="24"/>
      <c r="M463" s="24"/>
      <c r="N463" s="24"/>
      <c r="O463" s="24"/>
      <c r="P463" s="24"/>
      <c r="Q463" s="24"/>
      <c r="R463" s="24"/>
      <c r="S463" s="46" t="str">
        <f>IF(Project_Tracker[[#This Row],[Project Lead]]="", "", IFERROR(VLOOKUP(Project_Tracker[[#This Row],[Project Lead]], Setting!C:D, 2, 0), ""))</f>
        <v/>
      </c>
      <c r="T463" s="47"/>
      <c r="U463" s="37" t="str">
        <f>Project_Tracker[[#This Row],[Project Lead]]&amp;", "&amp;Project_Tracker[[#This Row],[Team Collaboration]]</f>
        <v xml:space="preserve">, </v>
      </c>
      <c r="V463" s="37"/>
      <c r="W463" s="37"/>
      <c r="X463" s="56"/>
      <c r="Y463" s="10"/>
      <c r="Z463" s="10"/>
    </row>
    <row r="464" spans="1:26" ht="10.199999999999999" x14ac:dyDescent="0.3">
      <c r="A464" s="17"/>
      <c r="B464" s="18"/>
      <c r="C464" s="95"/>
      <c r="D464" s="55"/>
      <c r="E464" s="131"/>
      <c r="F464" s="42"/>
      <c r="G464" s="20"/>
      <c r="H464" s="136"/>
      <c r="I464" s="23"/>
      <c r="J464" s="23"/>
      <c r="K464" s="23"/>
      <c r="L464" s="24"/>
      <c r="M464" s="24"/>
      <c r="N464" s="24"/>
      <c r="O464" s="24"/>
      <c r="P464" s="24"/>
      <c r="Q464" s="24"/>
      <c r="R464" s="24"/>
      <c r="S464" s="46" t="str">
        <f>IF(Project_Tracker[[#This Row],[Project Lead]]="", "", IFERROR(VLOOKUP(Project_Tracker[[#This Row],[Project Lead]], Setting!C:D, 2, 0), ""))</f>
        <v/>
      </c>
      <c r="T464" s="47"/>
      <c r="U464" s="37" t="str">
        <f>Project_Tracker[[#This Row],[Project Lead]]&amp;", "&amp;Project_Tracker[[#This Row],[Team Collaboration]]</f>
        <v xml:space="preserve">, </v>
      </c>
      <c r="V464" s="37"/>
      <c r="W464" s="37"/>
      <c r="X464" s="56"/>
      <c r="Y464" s="10"/>
      <c r="Z464" s="10"/>
    </row>
    <row r="465" spans="1:26" ht="10.199999999999999" x14ac:dyDescent="0.3">
      <c r="A465" s="17"/>
      <c r="B465" s="18"/>
      <c r="C465" s="95"/>
      <c r="D465" s="55"/>
      <c r="E465" s="131"/>
      <c r="F465" s="42"/>
      <c r="G465" s="20"/>
      <c r="H465" s="136"/>
      <c r="I465" s="23"/>
      <c r="J465" s="23"/>
      <c r="K465" s="23"/>
      <c r="L465" s="24"/>
      <c r="M465" s="24"/>
      <c r="N465" s="24"/>
      <c r="O465" s="24"/>
      <c r="P465" s="24"/>
      <c r="Q465" s="24"/>
      <c r="R465" s="24"/>
      <c r="S465" s="46" t="str">
        <f>IF(Project_Tracker[[#This Row],[Project Lead]]="", "", IFERROR(VLOOKUP(Project_Tracker[[#This Row],[Project Lead]], Setting!C:D, 2, 0), ""))</f>
        <v/>
      </c>
      <c r="T465" s="47"/>
      <c r="U465" s="37" t="str">
        <f>Project_Tracker[[#This Row],[Project Lead]]&amp;", "&amp;Project_Tracker[[#This Row],[Team Collaboration]]</f>
        <v xml:space="preserve">, </v>
      </c>
      <c r="V465" s="37"/>
      <c r="W465" s="37"/>
      <c r="X465" s="56"/>
      <c r="Y465" s="10"/>
      <c r="Z465" s="10"/>
    </row>
    <row r="466" spans="1:26" ht="10.199999999999999" x14ac:dyDescent="0.3">
      <c r="A466" s="17"/>
      <c r="B466" s="18"/>
      <c r="C466" s="95"/>
      <c r="D466" s="55"/>
      <c r="E466" s="131"/>
      <c r="F466" s="42"/>
      <c r="G466" s="20"/>
      <c r="H466" s="136"/>
      <c r="I466" s="23"/>
      <c r="J466" s="23"/>
      <c r="K466" s="23"/>
      <c r="L466" s="24"/>
      <c r="M466" s="24"/>
      <c r="N466" s="24"/>
      <c r="O466" s="24"/>
      <c r="P466" s="24"/>
      <c r="Q466" s="24"/>
      <c r="R466" s="24"/>
      <c r="S466" s="46" t="str">
        <f>IF(Project_Tracker[[#This Row],[Project Lead]]="", "", IFERROR(VLOOKUP(Project_Tracker[[#This Row],[Project Lead]], Setting!C:D, 2, 0), ""))</f>
        <v/>
      </c>
      <c r="T466" s="47"/>
      <c r="U466" s="37" t="str">
        <f>Project_Tracker[[#This Row],[Project Lead]]&amp;", "&amp;Project_Tracker[[#This Row],[Team Collaboration]]</f>
        <v xml:space="preserve">, </v>
      </c>
      <c r="V466" s="37"/>
      <c r="W466" s="37"/>
      <c r="X466" s="56"/>
      <c r="Y466" s="10"/>
      <c r="Z466" s="10"/>
    </row>
    <row r="467" spans="1:26" ht="10.199999999999999" x14ac:dyDescent="0.3">
      <c r="A467" s="17"/>
      <c r="B467" s="18"/>
      <c r="C467" s="95"/>
      <c r="D467" s="55"/>
      <c r="E467" s="131"/>
      <c r="F467" s="42"/>
      <c r="G467" s="20"/>
      <c r="H467" s="136"/>
      <c r="I467" s="23"/>
      <c r="J467" s="23"/>
      <c r="K467" s="23"/>
      <c r="L467" s="24"/>
      <c r="M467" s="24"/>
      <c r="N467" s="24"/>
      <c r="O467" s="24"/>
      <c r="P467" s="24"/>
      <c r="Q467" s="24"/>
      <c r="R467" s="24"/>
      <c r="S467" s="46" t="str">
        <f>IF(Project_Tracker[[#This Row],[Project Lead]]="", "", IFERROR(VLOOKUP(Project_Tracker[[#This Row],[Project Lead]], Setting!C:D, 2, 0), ""))</f>
        <v/>
      </c>
      <c r="T467" s="47"/>
      <c r="U467" s="37" t="str">
        <f>Project_Tracker[[#This Row],[Project Lead]]&amp;", "&amp;Project_Tracker[[#This Row],[Team Collaboration]]</f>
        <v xml:space="preserve">, </v>
      </c>
      <c r="V467" s="37"/>
      <c r="W467" s="37"/>
      <c r="X467" s="56"/>
      <c r="Y467" s="10"/>
      <c r="Z467" s="10"/>
    </row>
    <row r="468" spans="1:26" ht="10.199999999999999" x14ac:dyDescent="0.3">
      <c r="A468" s="17"/>
      <c r="B468" s="18"/>
      <c r="C468" s="95"/>
      <c r="D468" s="55"/>
      <c r="E468" s="131"/>
      <c r="F468" s="42"/>
      <c r="G468" s="20"/>
      <c r="H468" s="136"/>
      <c r="I468" s="23"/>
      <c r="J468" s="23"/>
      <c r="K468" s="23"/>
      <c r="L468" s="24"/>
      <c r="M468" s="24"/>
      <c r="N468" s="24"/>
      <c r="O468" s="24"/>
      <c r="P468" s="24"/>
      <c r="Q468" s="24"/>
      <c r="R468" s="24"/>
      <c r="S468" s="46" t="str">
        <f>IF(Project_Tracker[[#This Row],[Project Lead]]="", "", IFERROR(VLOOKUP(Project_Tracker[[#This Row],[Project Lead]], Setting!C:D, 2, 0), ""))</f>
        <v/>
      </c>
      <c r="T468" s="47"/>
      <c r="U468" s="37" t="str">
        <f>Project_Tracker[[#This Row],[Project Lead]]&amp;", "&amp;Project_Tracker[[#This Row],[Team Collaboration]]</f>
        <v xml:space="preserve">, </v>
      </c>
      <c r="V468" s="37"/>
      <c r="W468" s="37"/>
      <c r="X468" s="56"/>
      <c r="Y468" s="10"/>
      <c r="Z468" s="10"/>
    </row>
    <row r="469" spans="1:26" ht="10.199999999999999" x14ac:dyDescent="0.3">
      <c r="A469" s="17"/>
      <c r="B469" s="18"/>
      <c r="C469" s="95"/>
      <c r="D469" s="55"/>
      <c r="E469" s="131"/>
      <c r="F469" s="42"/>
      <c r="G469" s="20"/>
      <c r="H469" s="136"/>
      <c r="I469" s="23"/>
      <c r="J469" s="23"/>
      <c r="K469" s="23"/>
      <c r="L469" s="24"/>
      <c r="M469" s="24"/>
      <c r="N469" s="24"/>
      <c r="O469" s="24"/>
      <c r="P469" s="24"/>
      <c r="Q469" s="24"/>
      <c r="R469" s="24"/>
      <c r="S469" s="46" t="str">
        <f>IF(Project_Tracker[[#This Row],[Project Lead]]="", "", IFERROR(VLOOKUP(Project_Tracker[[#This Row],[Project Lead]], Setting!C:D, 2, 0), ""))</f>
        <v/>
      </c>
      <c r="T469" s="47"/>
      <c r="U469" s="37" t="str">
        <f>Project_Tracker[[#This Row],[Project Lead]]&amp;", "&amp;Project_Tracker[[#This Row],[Team Collaboration]]</f>
        <v xml:space="preserve">, </v>
      </c>
      <c r="V469" s="37"/>
      <c r="W469" s="37"/>
      <c r="X469" s="56"/>
      <c r="Y469" s="10"/>
      <c r="Z469" s="10"/>
    </row>
    <row r="470" spans="1:26" ht="10.199999999999999" x14ac:dyDescent="0.3">
      <c r="A470" s="17"/>
      <c r="B470" s="18"/>
      <c r="C470" s="95"/>
      <c r="D470" s="55"/>
      <c r="E470" s="131"/>
      <c r="F470" s="42"/>
      <c r="G470" s="20"/>
      <c r="H470" s="136"/>
      <c r="I470" s="23"/>
      <c r="J470" s="23"/>
      <c r="K470" s="23"/>
      <c r="L470" s="24"/>
      <c r="M470" s="24"/>
      <c r="N470" s="24"/>
      <c r="O470" s="24"/>
      <c r="P470" s="24"/>
      <c r="Q470" s="24"/>
      <c r="R470" s="24"/>
      <c r="S470" s="46" t="str">
        <f>IF(Project_Tracker[[#This Row],[Project Lead]]="", "", IFERROR(VLOOKUP(Project_Tracker[[#This Row],[Project Lead]], Setting!C:D, 2, 0), ""))</f>
        <v/>
      </c>
      <c r="T470" s="47"/>
      <c r="U470" s="37" t="str">
        <f>Project_Tracker[[#This Row],[Project Lead]]&amp;", "&amp;Project_Tracker[[#This Row],[Team Collaboration]]</f>
        <v xml:space="preserve">, </v>
      </c>
      <c r="V470" s="37"/>
      <c r="W470" s="37"/>
      <c r="X470" s="56"/>
      <c r="Y470" s="10"/>
      <c r="Z470" s="10"/>
    </row>
    <row r="471" spans="1:26" ht="10.199999999999999" x14ac:dyDescent="0.3">
      <c r="A471" s="17"/>
      <c r="B471" s="18"/>
      <c r="C471" s="95"/>
      <c r="D471" s="55"/>
      <c r="E471" s="131"/>
      <c r="F471" s="42"/>
      <c r="G471" s="20"/>
      <c r="H471" s="136"/>
      <c r="I471" s="23"/>
      <c r="J471" s="23"/>
      <c r="K471" s="23"/>
      <c r="L471" s="24"/>
      <c r="M471" s="24"/>
      <c r="N471" s="24"/>
      <c r="O471" s="24"/>
      <c r="P471" s="24"/>
      <c r="Q471" s="24"/>
      <c r="R471" s="24"/>
      <c r="S471" s="46" t="str">
        <f>IF(Project_Tracker[[#This Row],[Project Lead]]="", "", IFERROR(VLOOKUP(Project_Tracker[[#This Row],[Project Lead]], Setting!C:D, 2, 0), ""))</f>
        <v/>
      </c>
      <c r="T471" s="47"/>
      <c r="U471" s="37" t="str">
        <f>Project_Tracker[[#This Row],[Project Lead]]&amp;", "&amp;Project_Tracker[[#This Row],[Team Collaboration]]</f>
        <v xml:space="preserve">, </v>
      </c>
      <c r="V471" s="37"/>
      <c r="W471" s="37"/>
      <c r="X471" s="56"/>
      <c r="Y471" s="10"/>
      <c r="Z471" s="10"/>
    </row>
    <row r="472" spans="1:26" ht="10.199999999999999" x14ac:dyDescent="0.3">
      <c r="A472" s="17"/>
      <c r="B472" s="18"/>
      <c r="C472" s="95"/>
      <c r="D472" s="55"/>
      <c r="E472" s="131"/>
      <c r="F472" s="42"/>
      <c r="G472" s="20"/>
      <c r="H472" s="136"/>
      <c r="I472" s="23"/>
      <c r="J472" s="23"/>
      <c r="K472" s="23"/>
      <c r="L472" s="24"/>
      <c r="M472" s="24"/>
      <c r="N472" s="24"/>
      <c r="O472" s="24"/>
      <c r="P472" s="24"/>
      <c r="Q472" s="24"/>
      <c r="R472" s="24"/>
      <c r="S472" s="46" t="str">
        <f>IF(Project_Tracker[[#This Row],[Project Lead]]="", "", IFERROR(VLOOKUP(Project_Tracker[[#This Row],[Project Lead]], Setting!C:D, 2, 0), ""))</f>
        <v/>
      </c>
      <c r="T472" s="47"/>
      <c r="U472" s="37" t="str">
        <f>Project_Tracker[[#This Row],[Project Lead]]&amp;", "&amp;Project_Tracker[[#This Row],[Team Collaboration]]</f>
        <v xml:space="preserve">, </v>
      </c>
      <c r="V472" s="37"/>
      <c r="W472" s="37"/>
      <c r="X472" s="56"/>
      <c r="Y472" s="10"/>
      <c r="Z472" s="10"/>
    </row>
    <row r="473" spans="1:26" ht="10.199999999999999" x14ac:dyDescent="0.3">
      <c r="A473" s="17"/>
      <c r="B473" s="18"/>
      <c r="C473" s="95"/>
      <c r="D473" s="55"/>
      <c r="E473" s="131"/>
      <c r="F473" s="42"/>
      <c r="G473" s="20"/>
      <c r="H473" s="136"/>
      <c r="I473" s="23"/>
      <c r="J473" s="23"/>
      <c r="K473" s="23"/>
      <c r="L473" s="24"/>
      <c r="M473" s="24"/>
      <c r="N473" s="24"/>
      <c r="O473" s="24"/>
      <c r="P473" s="24"/>
      <c r="Q473" s="24"/>
      <c r="R473" s="24"/>
      <c r="S473" s="46" t="str">
        <f>IF(Project_Tracker[[#This Row],[Project Lead]]="", "", IFERROR(VLOOKUP(Project_Tracker[[#This Row],[Project Lead]], Setting!C:D, 2, 0), ""))</f>
        <v/>
      </c>
      <c r="T473" s="47"/>
      <c r="U473" s="37" t="str">
        <f>Project_Tracker[[#This Row],[Project Lead]]&amp;", "&amp;Project_Tracker[[#This Row],[Team Collaboration]]</f>
        <v xml:space="preserve">, </v>
      </c>
      <c r="V473" s="37"/>
      <c r="W473" s="37"/>
      <c r="X473" s="56"/>
      <c r="Y473" s="10"/>
      <c r="Z473" s="10"/>
    </row>
    <row r="474" spans="1:26" ht="10.199999999999999" x14ac:dyDescent="0.3">
      <c r="A474" s="17"/>
      <c r="B474" s="18"/>
      <c r="C474" s="95"/>
      <c r="D474" s="55"/>
      <c r="E474" s="131"/>
      <c r="F474" s="42"/>
      <c r="G474" s="20"/>
      <c r="H474" s="136"/>
      <c r="I474" s="23"/>
      <c r="J474" s="23"/>
      <c r="K474" s="23"/>
      <c r="L474" s="24"/>
      <c r="M474" s="24"/>
      <c r="N474" s="24"/>
      <c r="O474" s="24"/>
      <c r="P474" s="24"/>
      <c r="Q474" s="24"/>
      <c r="R474" s="24"/>
      <c r="S474" s="46" t="str">
        <f>IF(Project_Tracker[[#This Row],[Project Lead]]="", "", IFERROR(VLOOKUP(Project_Tracker[[#This Row],[Project Lead]], Setting!C:D, 2, 0), ""))</f>
        <v/>
      </c>
      <c r="T474" s="47"/>
      <c r="U474" s="37" t="str">
        <f>Project_Tracker[[#This Row],[Project Lead]]&amp;", "&amp;Project_Tracker[[#This Row],[Team Collaboration]]</f>
        <v xml:space="preserve">, </v>
      </c>
      <c r="V474" s="37"/>
      <c r="W474" s="37"/>
      <c r="X474" s="56"/>
      <c r="Y474" s="10"/>
      <c r="Z474" s="10"/>
    </row>
    <row r="475" spans="1:26" ht="10.199999999999999" x14ac:dyDescent="0.3">
      <c r="A475" s="17"/>
      <c r="B475" s="18"/>
      <c r="C475" s="95"/>
      <c r="D475" s="55"/>
      <c r="E475" s="131"/>
      <c r="F475" s="42"/>
      <c r="G475" s="20"/>
      <c r="H475" s="136"/>
      <c r="I475" s="23"/>
      <c r="J475" s="23"/>
      <c r="K475" s="23"/>
      <c r="L475" s="24"/>
      <c r="M475" s="24"/>
      <c r="N475" s="24"/>
      <c r="O475" s="24"/>
      <c r="P475" s="24"/>
      <c r="Q475" s="24"/>
      <c r="R475" s="24"/>
      <c r="S475" s="46" t="str">
        <f>IF(Project_Tracker[[#This Row],[Project Lead]]="", "", IFERROR(VLOOKUP(Project_Tracker[[#This Row],[Project Lead]], Setting!C:D, 2, 0), ""))</f>
        <v/>
      </c>
      <c r="T475" s="47"/>
      <c r="U475" s="37" t="str">
        <f>Project_Tracker[[#This Row],[Project Lead]]&amp;", "&amp;Project_Tracker[[#This Row],[Team Collaboration]]</f>
        <v xml:space="preserve">, </v>
      </c>
      <c r="V475" s="37"/>
      <c r="W475" s="37"/>
      <c r="X475" s="56"/>
      <c r="Y475" s="10"/>
      <c r="Z475" s="10"/>
    </row>
    <row r="476" spans="1:26" ht="10.199999999999999" x14ac:dyDescent="0.3">
      <c r="A476" s="17"/>
      <c r="B476" s="18"/>
      <c r="C476" s="95"/>
      <c r="D476" s="55"/>
      <c r="E476" s="131"/>
      <c r="F476" s="42"/>
      <c r="G476" s="20"/>
      <c r="H476" s="136"/>
      <c r="I476" s="23"/>
      <c r="J476" s="23"/>
      <c r="K476" s="23"/>
      <c r="L476" s="24"/>
      <c r="M476" s="24"/>
      <c r="N476" s="24"/>
      <c r="O476" s="24"/>
      <c r="P476" s="24"/>
      <c r="Q476" s="24"/>
      <c r="R476" s="24"/>
      <c r="S476" s="46" t="str">
        <f>IF(Project_Tracker[[#This Row],[Project Lead]]="", "", IFERROR(VLOOKUP(Project_Tracker[[#This Row],[Project Lead]], Setting!C:D, 2, 0), ""))</f>
        <v/>
      </c>
      <c r="T476" s="47"/>
      <c r="U476" s="37" t="str">
        <f>Project_Tracker[[#This Row],[Project Lead]]&amp;", "&amp;Project_Tracker[[#This Row],[Team Collaboration]]</f>
        <v xml:space="preserve">, </v>
      </c>
      <c r="V476" s="37"/>
      <c r="W476" s="37"/>
      <c r="X476" s="56"/>
      <c r="Y476" s="10"/>
      <c r="Z476" s="10"/>
    </row>
    <row r="477" spans="1:26" ht="10.199999999999999" x14ac:dyDescent="0.3">
      <c r="A477" s="17"/>
      <c r="B477" s="18"/>
      <c r="C477" s="95"/>
      <c r="D477" s="55"/>
      <c r="E477" s="131"/>
      <c r="F477" s="42"/>
      <c r="G477" s="20"/>
      <c r="H477" s="136"/>
      <c r="I477" s="23"/>
      <c r="J477" s="23"/>
      <c r="K477" s="23"/>
      <c r="L477" s="24"/>
      <c r="M477" s="24"/>
      <c r="N477" s="24"/>
      <c r="O477" s="24"/>
      <c r="P477" s="24"/>
      <c r="Q477" s="24"/>
      <c r="R477" s="24"/>
      <c r="S477" s="46" t="str">
        <f>IF(Project_Tracker[[#This Row],[Project Lead]]="", "", IFERROR(VLOOKUP(Project_Tracker[[#This Row],[Project Lead]], Setting!C:D, 2, 0), ""))</f>
        <v/>
      </c>
      <c r="T477" s="47"/>
      <c r="U477" s="37" t="str">
        <f>Project_Tracker[[#This Row],[Project Lead]]&amp;", "&amp;Project_Tracker[[#This Row],[Team Collaboration]]</f>
        <v xml:space="preserve">, </v>
      </c>
      <c r="V477" s="37"/>
      <c r="W477" s="37"/>
      <c r="X477" s="56"/>
      <c r="Y477" s="10"/>
      <c r="Z477" s="10"/>
    </row>
    <row r="478" spans="1:26" ht="10.199999999999999" x14ac:dyDescent="0.3">
      <c r="A478" s="17"/>
      <c r="B478" s="18"/>
      <c r="C478" s="95"/>
      <c r="D478" s="55"/>
      <c r="E478" s="131"/>
      <c r="F478" s="42"/>
      <c r="G478" s="20"/>
      <c r="H478" s="136"/>
      <c r="I478" s="23"/>
      <c r="J478" s="23"/>
      <c r="K478" s="23"/>
      <c r="L478" s="24"/>
      <c r="M478" s="24"/>
      <c r="N478" s="24"/>
      <c r="O478" s="24"/>
      <c r="P478" s="24"/>
      <c r="Q478" s="24"/>
      <c r="R478" s="24"/>
      <c r="S478" s="46" t="str">
        <f>IF(Project_Tracker[[#This Row],[Project Lead]]="", "", IFERROR(VLOOKUP(Project_Tracker[[#This Row],[Project Lead]], Setting!C:D, 2, 0), ""))</f>
        <v/>
      </c>
      <c r="T478" s="47"/>
      <c r="U478" s="37" t="str">
        <f>Project_Tracker[[#This Row],[Project Lead]]&amp;", "&amp;Project_Tracker[[#This Row],[Team Collaboration]]</f>
        <v xml:space="preserve">, </v>
      </c>
      <c r="V478" s="37"/>
      <c r="W478" s="37"/>
      <c r="X478" s="56"/>
      <c r="Y478" s="10"/>
      <c r="Z478" s="10"/>
    </row>
    <row r="479" spans="1:26" ht="10.199999999999999" x14ac:dyDescent="0.3">
      <c r="A479" s="17"/>
      <c r="B479" s="18"/>
      <c r="C479" s="95"/>
      <c r="D479" s="55"/>
      <c r="E479" s="131"/>
      <c r="F479" s="42"/>
      <c r="G479" s="20"/>
      <c r="H479" s="136"/>
      <c r="I479" s="23"/>
      <c r="J479" s="23"/>
      <c r="K479" s="23"/>
      <c r="L479" s="24"/>
      <c r="M479" s="24"/>
      <c r="N479" s="24"/>
      <c r="O479" s="24"/>
      <c r="P479" s="24"/>
      <c r="Q479" s="24"/>
      <c r="R479" s="24"/>
      <c r="S479" s="46" t="str">
        <f>IF(Project_Tracker[[#This Row],[Project Lead]]="", "", IFERROR(VLOOKUP(Project_Tracker[[#This Row],[Project Lead]], Setting!C:D, 2, 0), ""))</f>
        <v/>
      </c>
      <c r="T479" s="47"/>
      <c r="U479" s="37" t="str">
        <f>Project_Tracker[[#This Row],[Project Lead]]&amp;", "&amp;Project_Tracker[[#This Row],[Team Collaboration]]</f>
        <v xml:space="preserve">, </v>
      </c>
      <c r="V479" s="37"/>
      <c r="W479" s="37"/>
      <c r="X479" s="56"/>
      <c r="Y479" s="10"/>
      <c r="Z479" s="10"/>
    </row>
    <row r="480" spans="1:26" ht="10.199999999999999" x14ac:dyDescent="0.3">
      <c r="A480" s="17"/>
      <c r="B480" s="18"/>
      <c r="C480" s="95"/>
      <c r="D480" s="55"/>
      <c r="E480" s="131"/>
      <c r="F480" s="42"/>
      <c r="G480" s="20"/>
      <c r="H480" s="136"/>
      <c r="I480" s="23"/>
      <c r="J480" s="23"/>
      <c r="K480" s="23"/>
      <c r="L480" s="24"/>
      <c r="M480" s="24"/>
      <c r="N480" s="24"/>
      <c r="O480" s="24"/>
      <c r="P480" s="24"/>
      <c r="Q480" s="24"/>
      <c r="R480" s="24"/>
      <c r="S480" s="46" t="str">
        <f>IF(Project_Tracker[[#This Row],[Project Lead]]="", "", IFERROR(VLOOKUP(Project_Tracker[[#This Row],[Project Lead]], Setting!C:D, 2, 0), ""))</f>
        <v/>
      </c>
      <c r="T480" s="47"/>
      <c r="U480" s="37" t="str">
        <f>Project_Tracker[[#This Row],[Project Lead]]&amp;", "&amp;Project_Tracker[[#This Row],[Team Collaboration]]</f>
        <v xml:space="preserve">, </v>
      </c>
      <c r="V480" s="37"/>
      <c r="W480" s="37"/>
      <c r="X480" s="56"/>
      <c r="Y480" s="10"/>
      <c r="Z480" s="10"/>
    </row>
    <row r="481" spans="1:26" ht="10.199999999999999" x14ac:dyDescent="0.3">
      <c r="A481" s="17"/>
      <c r="B481" s="18"/>
      <c r="C481" s="95"/>
      <c r="D481" s="55"/>
      <c r="E481" s="131"/>
      <c r="F481" s="42"/>
      <c r="G481" s="20"/>
      <c r="H481" s="136"/>
      <c r="I481" s="23"/>
      <c r="J481" s="23"/>
      <c r="K481" s="23"/>
      <c r="L481" s="24"/>
      <c r="M481" s="24"/>
      <c r="N481" s="24"/>
      <c r="O481" s="24"/>
      <c r="P481" s="24"/>
      <c r="Q481" s="24"/>
      <c r="R481" s="24"/>
      <c r="S481" s="46" t="str">
        <f>IF(Project_Tracker[[#This Row],[Project Lead]]="", "", IFERROR(VLOOKUP(Project_Tracker[[#This Row],[Project Lead]], Setting!C:D, 2, 0), ""))</f>
        <v/>
      </c>
      <c r="T481" s="47"/>
      <c r="U481" s="37" t="str">
        <f>Project_Tracker[[#This Row],[Project Lead]]&amp;", "&amp;Project_Tracker[[#This Row],[Team Collaboration]]</f>
        <v xml:space="preserve">, </v>
      </c>
      <c r="V481" s="37"/>
      <c r="W481" s="37"/>
      <c r="X481" s="56"/>
      <c r="Y481" s="10"/>
      <c r="Z481" s="10"/>
    </row>
    <row r="482" spans="1:26" ht="10.199999999999999" x14ac:dyDescent="0.3">
      <c r="A482" s="17"/>
      <c r="B482" s="18"/>
      <c r="C482" s="95"/>
      <c r="D482" s="55"/>
      <c r="E482" s="131"/>
      <c r="F482" s="42"/>
      <c r="G482" s="20"/>
      <c r="H482" s="136"/>
      <c r="I482" s="23"/>
      <c r="J482" s="23"/>
      <c r="K482" s="23"/>
      <c r="L482" s="24"/>
      <c r="M482" s="24"/>
      <c r="N482" s="24"/>
      <c r="O482" s="24"/>
      <c r="P482" s="24"/>
      <c r="Q482" s="24"/>
      <c r="R482" s="24"/>
      <c r="S482" s="46" t="str">
        <f>IF(Project_Tracker[[#This Row],[Project Lead]]="", "", IFERROR(VLOOKUP(Project_Tracker[[#This Row],[Project Lead]], Setting!C:D, 2, 0), ""))</f>
        <v/>
      </c>
      <c r="T482" s="47"/>
      <c r="U482" s="37" t="str">
        <f>Project_Tracker[[#This Row],[Project Lead]]&amp;", "&amp;Project_Tracker[[#This Row],[Team Collaboration]]</f>
        <v xml:space="preserve">, </v>
      </c>
      <c r="V482" s="37"/>
      <c r="W482" s="37"/>
      <c r="X482" s="56"/>
      <c r="Y482" s="10"/>
      <c r="Z482" s="10"/>
    </row>
    <row r="483" spans="1:26" ht="10.199999999999999" x14ac:dyDescent="0.3">
      <c r="A483" s="17"/>
      <c r="B483" s="18"/>
      <c r="C483" s="95"/>
      <c r="D483" s="55"/>
      <c r="E483" s="131"/>
      <c r="F483" s="42"/>
      <c r="G483" s="20"/>
      <c r="H483" s="136"/>
      <c r="I483" s="23"/>
      <c r="J483" s="23"/>
      <c r="K483" s="23"/>
      <c r="L483" s="24"/>
      <c r="M483" s="24"/>
      <c r="N483" s="24"/>
      <c r="O483" s="24"/>
      <c r="P483" s="24"/>
      <c r="Q483" s="24"/>
      <c r="R483" s="24"/>
      <c r="S483" s="46" t="str">
        <f>IF(Project_Tracker[[#This Row],[Project Lead]]="", "", IFERROR(VLOOKUP(Project_Tracker[[#This Row],[Project Lead]], Setting!C:D, 2, 0), ""))</f>
        <v/>
      </c>
      <c r="T483" s="47"/>
      <c r="U483" s="37" t="str">
        <f>Project_Tracker[[#This Row],[Project Lead]]&amp;", "&amp;Project_Tracker[[#This Row],[Team Collaboration]]</f>
        <v xml:space="preserve">, </v>
      </c>
      <c r="V483" s="37"/>
      <c r="W483" s="37"/>
      <c r="X483" s="56"/>
      <c r="Y483" s="10"/>
      <c r="Z483" s="10"/>
    </row>
    <row r="484" spans="1:26" ht="10.199999999999999" x14ac:dyDescent="0.3">
      <c r="A484" s="17"/>
      <c r="B484" s="18"/>
      <c r="C484" s="95"/>
      <c r="D484" s="55"/>
      <c r="E484" s="131"/>
      <c r="F484" s="42"/>
      <c r="G484" s="20"/>
      <c r="H484" s="136"/>
      <c r="I484" s="23"/>
      <c r="J484" s="23"/>
      <c r="K484" s="23"/>
      <c r="L484" s="24"/>
      <c r="M484" s="24"/>
      <c r="N484" s="24"/>
      <c r="O484" s="24"/>
      <c r="P484" s="24"/>
      <c r="Q484" s="24"/>
      <c r="R484" s="24"/>
      <c r="S484" s="46" t="str">
        <f>IF(Project_Tracker[[#This Row],[Project Lead]]="", "", IFERROR(VLOOKUP(Project_Tracker[[#This Row],[Project Lead]], Setting!C:D, 2, 0), ""))</f>
        <v/>
      </c>
      <c r="T484" s="47"/>
      <c r="U484" s="37" t="str">
        <f>Project_Tracker[[#This Row],[Project Lead]]&amp;", "&amp;Project_Tracker[[#This Row],[Team Collaboration]]</f>
        <v xml:space="preserve">, </v>
      </c>
      <c r="V484" s="37"/>
      <c r="W484" s="37"/>
      <c r="X484" s="56"/>
      <c r="Y484" s="10"/>
      <c r="Z484" s="10"/>
    </row>
    <row r="485" spans="1:26" ht="10.199999999999999" x14ac:dyDescent="0.3">
      <c r="A485" s="17"/>
      <c r="B485" s="18"/>
      <c r="C485" s="95"/>
      <c r="D485" s="55"/>
      <c r="E485" s="131"/>
      <c r="F485" s="42"/>
      <c r="G485" s="20"/>
      <c r="H485" s="136"/>
      <c r="I485" s="23"/>
      <c r="J485" s="23"/>
      <c r="K485" s="23"/>
      <c r="L485" s="24"/>
      <c r="M485" s="24"/>
      <c r="N485" s="24"/>
      <c r="O485" s="24"/>
      <c r="P485" s="24"/>
      <c r="Q485" s="24"/>
      <c r="R485" s="24"/>
      <c r="S485" s="46" t="str">
        <f>IF(Project_Tracker[[#This Row],[Project Lead]]="", "", IFERROR(VLOOKUP(Project_Tracker[[#This Row],[Project Lead]], Setting!C:D, 2, 0), ""))</f>
        <v/>
      </c>
      <c r="T485" s="47"/>
      <c r="U485" s="37" t="str">
        <f>Project_Tracker[[#This Row],[Project Lead]]&amp;", "&amp;Project_Tracker[[#This Row],[Team Collaboration]]</f>
        <v xml:space="preserve">, </v>
      </c>
      <c r="V485" s="37"/>
      <c r="W485" s="37"/>
      <c r="X485" s="56"/>
      <c r="Y485" s="10"/>
      <c r="Z485" s="10"/>
    </row>
    <row r="486" spans="1:26" ht="10.199999999999999" x14ac:dyDescent="0.3">
      <c r="A486" s="17"/>
      <c r="B486" s="18"/>
      <c r="C486" s="95"/>
      <c r="D486" s="55"/>
      <c r="E486" s="131"/>
      <c r="F486" s="42"/>
      <c r="G486" s="20"/>
      <c r="H486" s="136"/>
      <c r="I486" s="23"/>
      <c r="J486" s="23"/>
      <c r="K486" s="23"/>
      <c r="L486" s="24"/>
      <c r="M486" s="24"/>
      <c r="N486" s="24"/>
      <c r="O486" s="24"/>
      <c r="P486" s="24"/>
      <c r="Q486" s="24"/>
      <c r="R486" s="24"/>
      <c r="S486" s="46" t="str">
        <f>IF(Project_Tracker[[#This Row],[Project Lead]]="", "", IFERROR(VLOOKUP(Project_Tracker[[#This Row],[Project Lead]], Setting!C:D, 2, 0), ""))</f>
        <v/>
      </c>
      <c r="T486" s="47"/>
      <c r="U486" s="37" t="str">
        <f>Project_Tracker[[#This Row],[Project Lead]]&amp;", "&amp;Project_Tracker[[#This Row],[Team Collaboration]]</f>
        <v xml:space="preserve">, </v>
      </c>
      <c r="V486" s="37"/>
      <c r="W486" s="37"/>
      <c r="X486" s="56"/>
      <c r="Y486" s="10"/>
      <c r="Z486" s="10"/>
    </row>
    <row r="487" spans="1:26" ht="10.199999999999999" x14ac:dyDescent="0.3">
      <c r="A487" s="17"/>
      <c r="B487" s="18"/>
      <c r="C487" s="95"/>
      <c r="D487" s="55"/>
      <c r="E487" s="131"/>
      <c r="F487" s="42"/>
      <c r="G487" s="20"/>
      <c r="H487" s="136"/>
      <c r="I487" s="23"/>
      <c r="J487" s="23"/>
      <c r="K487" s="23"/>
      <c r="L487" s="24"/>
      <c r="M487" s="24"/>
      <c r="N487" s="24"/>
      <c r="O487" s="24"/>
      <c r="P487" s="24"/>
      <c r="Q487" s="24"/>
      <c r="R487" s="24"/>
      <c r="S487" s="46" t="str">
        <f>IF(Project_Tracker[[#This Row],[Project Lead]]="", "", IFERROR(VLOOKUP(Project_Tracker[[#This Row],[Project Lead]], Setting!C:D, 2, 0), ""))</f>
        <v/>
      </c>
      <c r="T487" s="47"/>
      <c r="U487" s="37" t="str">
        <f>Project_Tracker[[#This Row],[Project Lead]]&amp;", "&amp;Project_Tracker[[#This Row],[Team Collaboration]]</f>
        <v xml:space="preserve">, </v>
      </c>
      <c r="V487" s="37"/>
      <c r="W487" s="37"/>
      <c r="X487" s="56"/>
      <c r="Y487" s="10"/>
      <c r="Z487" s="10"/>
    </row>
    <row r="488" spans="1:26" ht="10.199999999999999" x14ac:dyDescent="0.3">
      <c r="A488" s="17"/>
      <c r="B488" s="18"/>
      <c r="C488" s="95"/>
      <c r="D488" s="55"/>
      <c r="E488" s="131"/>
      <c r="F488" s="42"/>
      <c r="G488" s="20"/>
      <c r="H488" s="136"/>
      <c r="I488" s="23"/>
      <c r="J488" s="23"/>
      <c r="K488" s="23"/>
      <c r="L488" s="24"/>
      <c r="M488" s="24"/>
      <c r="N488" s="24"/>
      <c r="O488" s="24"/>
      <c r="P488" s="24"/>
      <c r="Q488" s="24"/>
      <c r="R488" s="24"/>
      <c r="S488" s="46" t="str">
        <f>IF(Project_Tracker[[#This Row],[Project Lead]]="", "", IFERROR(VLOOKUP(Project_Tracker[[#This Row],[Project Lead]], Setting!C:D, 2, 0), ""))</f>
        <v/>
      </c>
      <c r="T488" s="47"/>
      <c r="U488" s="37" t="str">
        <f>Project_Tracker[[#This Row],[Project Lead]]&amp;", "&amp;Project_Tracker[[#This Row],[Team Collaboration]]</f>
        <v xml:space="preserve">, </v>
      </c>
      <c r="V488" s="37"/>
      <c r="W488" s="37"/>
      <c r="X488" s="56"/>
      <c r="Y488" s="10"/>
      <c r="Z488" s="10"/>
    </row>
    <row r="489" spans="1:26" ht="10.199999999999999" x14ac:dyDescent="0.3">
      <c r="A489" s="17"/>
      <c r="B489" s="18"/>
      <c r="C489" s="95"/>
      <c r="D489" s="55"/>
      <c r="E489" s="131"/>
      <c r="F489" s="42"/>
      <c r="G489" s="20"/>
      <c r="H489" s="136"/>
      <c r="I489" s="23"/>
      <c r="J489" s="23"/>
      <c r="K489" s="23"/>
      <c r="L489" s="24"/>
      <c r="M489" s="24"/>
      <c r="N489" s="24"/>
      <c r="O489" s="24"/>
      <c r="P489" s="24"/>
      <c r="Q489" s="24"/>
      <c r="R489" s="24"/>
      <c r="S489" s="46" t="str">
        <f>IF(Project_Tracker[[#This Row],[Project Lead]]="", "", IFERROR(VLOOKUP(Project_Tracker[[#This Row],[Project Lead]], Setting!C:D, 2, 0), ""))</f>
        <v/>
      </c>
      <c r="T489" s="47"/>
      <c r="U489" s="37" t="str">
        <f>Project_Tracker[[#This Row],[Project Lead]]&amp;", "&amp;Project_Tracker[[#This Row],[Team Collaboration]]</f>
        <v xml:space="preserve">, </v>
      </c>
      <c r="V489" s="37"/>
      <c r="W489" s="37"/>
      <c r="X489" s="56"/>
      <c r="Y489" s="10"/>
      <c r="Z489" s="10"/>
    </row>
    <row r="490" spans="1:26" ht="10.199999999999999" x14ac:dyDescent="0.3">
      <c r="A490" s="17"/>
      <c r="B490" s="18"/>
      <c r="C490" s="95"/>
      <c r="D490" s="55"/>
      <c r="E490" s="131"/>
      <c r="F490" s="42"/>
      <c r="G490" s="20"/>
      <c r="H490" s="136"/>
      <c r="I490" s="23"/>
      <c r="J490" s="23"/>
      <c r="K490" s="23"/>
      <c r="L490" s="24"/>
      <c r="M490" s="24"/>
      <c r="N490" s="24"/>
      <c r="O490" s="24"/>
      <c r="P490" s="24"/>
      <c r="Q490" s="24"/>
      <c r="R490" s="24"/>
      <c r="S490" s="46" t="str">
        <f>IF(Project_Tracker[[#This Row],[Project Lead]]="", "", IFERROR(VLOOKUP(Project_Tracker[[#This Row],[Project Lead]], Setting!C:D, 2, 0), ""))</f>
        <v/>
      </c>
      <c r="T490" s="47"/>
      <c r="U490" s="37" t="str">
        <f>Project_Tracker[[#This Row],[Project Lead]]&amp;", "&amp;Project_Tracker[[#This Row],[Team Collaboration]]</f>
        <v xml:space="preserve">, </v>
      </c>
      <c r="V490" s="37"/>
      <c r="W490" s="37"/>
      <c r="X490" s="56"/>
      <c r="Y490" s="10"/>
      <c r="Z490" s="10"/>
    </row>
    <row r="491" spans="1:26" ht="10.199999999999999" x14ac:dyDescent="0.3">
      <c r="A491" s="17"/>
      <c r="B491" s="18"/>
      <c r="C491" s="95"/>
      <c r="D491" s="55"/>
      <c r="E491" s="131"/>
      <c r="F491" s="42"/>
      <c r="G491" s="20"/>
      <c r="H491" s="136"/>
      <c r="I491" s="23"/>
      <c r="J491" s="23"/>
      <c r="K491" s="23"/>
      <c r="L491" s="24"/>
      <c r="M491" s="24"/>
      <c r="N491" s="24"/>
      <c r="O491" s="24"/>
      <c r="P491" s="24"/>
      <c r="Q491" s="24"/>
      <c r="R491" s="24"/>
      <c r="S491" s="46" t="str">
        <f>IF(Project_Tracker[[#This Row],[Project Lead]]="", "", IFERROR(VLOOKUP(Project_Tracker[[#This Row],[Project Lead]], Setting!C:D, 2, 0), ""))</f>
        <v/>
      </c>
      <c r="T491" s="47"/>
      <c r="U491" s="37" t="str">
        <f>Project_Tracker[[#This Row],[Project Lead]]&amp;", "&amp;Project_Tracker[[#This Row],[Team Collaboration]]</f>
        <v xml:space="preserve">, </v>
      </c>
      <c r="V491" s="37"/>
      <c r="W491" s="37"/>
      <c r="X491" s="56"/>
      <c r="Y491" s="10"/>
      <c r="Z491" s="10"/>
    </row>
    <row r="492" spans="1:26" ht="10.199999999999999" x14ac:dyDescent="0.3">
      <c r="A492" s="17"/>
      <c r="B492" s="18"/>
      <c r="C492" s="95"/>
      <c r="D492" s="55"/>
      <c r="E492" s="131"/>
      <c r="F492" s="42"/>
      <c r="G492" s="20"/>
      <c r="H492" s="136"/>
      <c r="I492" s="23"/>
      <c r="J492" s="23"/>
      <c r="K492" s="23"/>
      <c r="L492" s="24"/>
      <c r="M492" s="24"/>
      <c r="N492" s="24"/>
      <c r="O492" s="24"/>
      <c r="P492" s="24"/>
      <c r="Q492" s="24"/>
      <c r="R492" s="24"/>
      <c r="S492" s="46" t="str">
        <f>IF(Project_Tracker[[#This Row],[Project Lead]]="", "", IFERROR(VLOOKUP(Project_Tracker[[#This Row],[Project Lead]], Setting!C:D, 2, 0), ""))</f>
        <v/>
      </c>
      <c r="T492" s="47"/>
      <c r="U492" s="37" t="str">
        <f>Project_Tracker[[#This Row],[Project Lead]]&amp;", "&amp;Project_Tracker[[#This Row],[Team Collaboration]]</f>
        <v xml:space="preserve">, </v>
      </c>
      <c r="V492" s="37"/>
      <c r="W492" s="37"/>
      <c r="X492" s="56"/>
      <c r="Y492" s="10"/>
      <c r="Z492" s="10"/>
    </row>
    <row r="493" spans="1:26" ht="10.199999999999999" x14ac:dyDescent="0.3">
      <c r="A493" s="17"/>
      <c r="B493" s="18"/>
      <c r="C493" s="95"/>
      <c r="D493" s="55"/>
      <c r="E493" s="131"/>
      <c r="F493" s="42"/>
      <c r="G493" s="20"/>
      <c r="H493" s="136"/>
      <c r="I493" s="23"/>
      <c r="J493" s="23"/>
      <c r="K493" s="23"/>
      <c r="L493" s="24"/>
      <c r="M493" s="24"/>
      <c r="N493" s="24"/>
      <c r="O493" s="24"/>
      <c r="P493" s="24"/>
      <c r="Q493" s="24"/>
      <c r="R493" s="24"/>
      <c r="S493" s="46" t="str">
        <f>IF(Project_Tracker[[#This Row],[Project Lead]]="", "", IFERROR(VLOOKUP(Project_Tracker[[#This Row],[Project Lead]], Setting!C:D, 2, 0), ""))</f>
        <v/>
      </c>
      <c r="T493" s="47"/>
      <c r="U493" s="37" t="str">
        <f>Project_Tracker[[#This Row],[Project Lead]]&amp;", "&amp;Project_Tracker[[#This Row],[Team Collaboration]]</f>
        <v xml:space="preserve">, </v>
      </c>
      <c r="V493" s="37"/>
      <c r="W493" s="37"/>
      <c r="X493" s="56"/>
      <c r="Y493" s="10"/>
      <c r="Z493" s="10"/>
    </row>
    <row r="494" spans="1:26" ht="10.199999999999999" x14ac:dyDescent="0.3">
      <c r="A494" s="17"/>
      <c r="B494" s="18"/>
      <c r="C494" s="95"/>
      <c r="D494" s="55"/>
      <c r="E494" s="131"/>
      <c r="F494" s="42"/>
      <c r="G494" s="20"/>
      <c r="H494" s="136"/>
      <c r="I494" s="23"/>
      <c r="J494" s="23"/>
      <c r="K494" s="23"/>
      <c r="L494" s="24"/>
      <c r="M494" s="24"/>
      <c r="N494" s="24"/>
      <c r="O494" s="24"/>
      <c r="P494" s="24"/>
      <c r="Q494" s="24"/>
      <c r="R494" s="24"/>
      <c r="S494" s="46" t="str">
        <f>IF(Project_Tracker[[#This Row],[Project Lead]]="", "", IFERROR(VLOOKUP(Project_Tracker[[#This Row],[Project Lead]], Setting!C:D, 2, 0), ""))</f>
        <v/>
      </c>
      <c r="T494" s="47"/>
      <c r="U494" s="37" t="str">
        <f>Project_Tracker[[#This Row],[Project Lead]]&amp;", "&amp;Project_Tracker[[#This Row],[Team Collaboration]]</f>
        <v xml:space="preserve">, </v>
      </c>
      <c r="V494" s="37"/>
      <c r="W494" s="37"/>
      <c r="X494" s="56"/>
      <c r="Y494" s="10"/>
      <c r="Z494" s="10"/>
    </row>
    <row r="495" spans="1:26" ht="10.199999999999999" x14ac:dyDescent="0.3">
      <c r="A495" s="17"/>
      <c r="B495" s="18"/>
      <c r="C495" s="95"/>
      <c r="D495" s="55"/>
      <c r="E495" s="131"/>
      <c r="F495" s="42"/>
      <c r="G495" s="20"/>
      <c r="H495" s="136"/>
      <c r="I495" s="23"/>
      <c r="J495" s="23"/>
      <c r="K495" s="23"/>
      <c r="L495" s="24"/>
      <c r="M495" s="24"/>
      <c r="N495" s="24"/>
      <c r="O495" s="24"/>
      <c r="P495" s="24"/>
      <c r="Q495" s="24"/>
      <c r="R495" s="24"/>
      <c r="S495" s="46" t="str">
        <f>IF(Project_Tracker[[#This Row],[Project Lead]]="", "", IFERROR(VLOOKUP(Project_Tracker[[#This Row],[Project Lead]], Setting!C:D, 2, 0), ""))</f>
        <v/>
      </c>
      <c r="T495" s="47"/>
      <c r="U495" s="37" t="str">
        <f>Project_Tracker[[#This Row],[Project Lead]]&amp;", "&amp;Project_Tracker[[#This Row],[Team Collaboration]]</f>
        <v xml:space="preserve">, </v>
      </c>
      <c r="V495" s="37"/>
      <c r="W495" s="37"/>
      <c r="X495" s="56"/>
      <c r="Y495" s="10"/>
      <c r="Z495" s="10"/>
    </row>
    <row r="496" spans="1:26" ht="10.199999999999999" x14ac:dyDescent="0.3">
      <c r="A496" s="17"/>
      <c r="B496" s="18"/>
      <c r="C496" s="95"/>
      <c r="D496" s="55"/>
      <c r="E496" s="131"/>
      <c r="F496" s="42"/>
      <c r="G496" s="20"/>
      <c r="H496" s="136"/>
      <c r="I496" s="23"/>
      <c r="J496" s="23"/>
      <c r="K496" s="23"/>
      <c r="L496" s="24"/>
      <c r="M496" s="24"/>
      <c r="N496" s="24"/>
      <c r="O496" s="24"/>
      <c r="P496" s="24"/>
      <c r="Q496" s="24"/>
      <c r="R496" s="24"/>
      <c r="S496" s="46" t="str">
        <f>IF(Project_Tracker[[#This Row],[Project Lead]]="", "", IFERROR(VLOOKUP(Project_Tracker[[#This Row],[Project Lead]], Setting!C:D, 2, 0), ""))</f>
        <v/>
      </c>
      <c r="T496" s="47"/>
      <c r="U496" s="37" t="str">
        <f>Project_Tracker[[#This Row],[Project Lead]]&amp;", "&amp;Project_Tracker[[#This Row],[Team Collaboration]]</f>
        <v xml:space="preserve">, </v>
      </c>
      <c r="V496" s="37"/>
      <c r="W496" s="37"/>
      <c r="X496" s="56"/>
      <c r="Y496" s="10"/>
      <c r="Z496" s="10"/>
    </row>
    <row r="497" spans="1:26" ht="10.199999999999999" x14ac:dyDescent="0.3">
      <c r="A497" s="17"/>
      <c r="B497" s="18"/>
      <c r="C497" s="95"/>
      <c r="D497" s="55"/>
      <c r="E497" s="131"/>
      <c r="F497" s="42"/>
      <c r="G497" s="20"/>
      <c r="H497" s="136"/>
      <c r="I497" s="23"/>
      <c r="J497" s="23"/>
      <c r="K497" s="23"/>
      <c r="L497" s="24"/>
      <c r="M497" s="24"/>
      <c r="N497" s="24"/>
      <c r="O497" s="24"/>
      <c r="P497" s="24"/>
      <c r="Q497" s="24"/>
      <c r="R497" s="24"/>
      <c r="S497" s="46" t="str">
        <f>IF(Project_Tracker[[#This Row],[Project Lead]]="", "", IFERROR(VLOOKUP(Project_Tracker[[#This Row],[Project Lead]], Setting!C:D, 2, 0), ""))</f>
        <v/>
      </c>
      <c r="T497" s="47"/>
      <c r="U497" s="37" t="str">
        <f>Project_Tracker[[#This Row],[Project Lead]]&amp;", "&amp;Project_Tracker[[#This Row],[Team Collaboration]]</f>
        <v xml:space="preserve">, </v>
      </c>
      <c r="V497" s="37"/>
      <c r="W497" s="37"/>
      <c r="X497" s="56"/>
      <c r="Y497" s="10"/>
      <c r="Z497" s="10"/>
    </row>
    <row r="498" spans="1:26" ht="10.199999999999999" x14ac:dyDescent="0.3">
      <c r="A498" s="17"/>
      <c r="B498" s="18"/>
      <c r="C498" s="95"/>
      <c r="D498" s="55"/>
      <c r="E498" s="131"/>
      <c r="F498" s="42"/>
      <c r="G498" s="20"/>
      <c r="H498" s="136"/>
      <c r="I498" s="23"/>
      <c r="J498" s="23"/>
      <c r="K498" s="23"/>
      <c r="L498" s="24"/>
      <c r="M498" s="24"/>
      <c r="N498" s="24"/>
      <c r="O498" s="24"/>
      <c r="P498" s="24"/>
      <c r="Q498" s="24"/>
      <c r="R498" s="24"/>
      <c r="S498" s="46" t="str">
        <f>IF(Project_Tracker[[#This Row],[Project Lead]]="", "", IFERROR(VLOOKUP(Project_Tracker[[#This Row],[Project Lead]], Setting!C:D, 2, 0), ""))</f>
        <v/>
      </c>
      <c r="T498" s="47"/>
      <c r="U498" s="37" t="str">
        <f>Project_Tracker[[#This Row],[Project Lead]]&amp;", "&amp;Project_Tracker[[#This Row],[Team Collaboration]]</f>
        <v xml:space="preserve">, </v>
      </c>
      <c r="V498" s="37"/>
      <c r="W498" s="37"/>
      <c r="X498" s="56"/>
      <c r="Y498" s="10"/>
      <c r="Z498" s="10"/>
    </row>
    <row r="499" spans="1:26" ht="10.199999999999999" x14ac:dyDescent="0.3">
      <c r="A499" s="17"/>
      <c r="B499" s="18"/>
      <c r="C499" s="95"/>
      <c r="D499" s="55"/>
      <c r="E499" s="131"/>
      <c r="F499" s="42"/>
      <c r="G499" s="20"/>
      <c r="H499" s="136"/>
      <c r="I499" s="23"/>
      <c r="J499" s="23"/>
      <c r="K499" s="23"/>
      <c r="L499" s="24"/>
      <c r="M499" s="24"/>
      <c r="N499" s="24"/>
      <c r="O499" s="24"/>
      <c r="P499" s="24"/>
      <c r="Q499" s="24"/>
      <c r="R499" s="24"/>
      <c r="S499" s="46" t="str">
        <f>IF(Project_Tracker[[#This Row],[Project Lead]]="", "", IFERROR(VLOOKUP(Project_Tracker[[#This Row],[Project Lead]], Setting!C:D, 2, 0), ""))</f>
        <v/>
      </c>
      <c r="T499" s="47"/>
      <c r="U499" s="37" t="str">
        <f>Project_Tracker[[#This Row],[Project Lead]]&amp;", "&amp;Project_Tracker[[#This Row],[Team Collaboration]]</f>
        <v xml:space="preserve">, </v>
      </c>
      <c r="V499" s="37"/>
      <c r="W499" s="37"/>
      <c r="X499" s="56"/>
      <c r="Y499" s="10"/>
      <c r="Z499" s="10"/>
    </row>
    <row r="500" spans="1:26" ht="10.199999999999999" x14ac:dyDescent="0.3">
      <c r="A500" s="17"/>
      <c r="B500" s="18"/>
      <c r="C500" s="95"/>
      <c r="D500" s="55"/>
      <c r="E500" s="131"/>
      <c r="F500" s="42"/>
      <c r="G500" s="20"/>
      <c r="H500" s="136"/>
      <c r="I500" s="23"/>
      <c r="J500" s="23"/>
      <c r="K500" s="23"/>
      <c r="L500" s="24"/>
      <c r="M500" s="24"/>
      <c r="N500" s="24"/>
      <c r="O500" s="24"/>
      <c r="P500" s="24"/>
      <c r="Q500" s="24"/>
      <c r="R500" s="24"/>
      <c r="S500" s="46" t="str">
        <f>IF(Project_Tracker[[#This Row],[Project Lead]]="", "", IFERROR(VLOOKUP(Project_Tracker[[#This Row],[Project Lead]], Setting!C:D, 2, 0), ""))</f>
        <v/>
      </c>
      <c r="T500" s="47"/>
      <c r="U500" s="37" t="str">
        <f>Project_Tracker[[#This Row],[Project Lead]]&amp;", "&amp;Project_Tracker[[#This Row],[Team Collaboration]]</f>
        <v xml:space="preserve">, </v>
      </c>
      <c r="V500" s="37"/>
      <c r="W500" s="37"/>
      <c r="X500" s="56"/>
      <c r="Y500" s="10"/>
      <c r="Z500" s="10"/>
    </row>
    <row r="501" spans="1:26" ht="10.199999999999999" x14ac:dyDescent="0.3">
      <c r="A501" s="17"/>
      <c r="B501" s="18"/>
      <c r="C501" s="95"/>
      <c r="D501" s="55"/>
      <c r="E501" s="131"/>
      <c r="F501" s="42"/>
      <c r="G501" s="20"/>
      <c r="H501" s="136"/>
      <c r="I501" s="23"/>
      <c r="J501" s="23"/>
      <c r="K501" s="23"/>
      <c r="L501" s="24"/>
      <c r="M501" s="24"/>
      <c r="N501" s="24"/>
      <c r="O501" s="24"/>
      <c r="P501" s="24"/>
      <c r="Q501" s="24"/>
      <c r="R501" s="24"/>
      <c r="S501" s="46" t="str">
        <f>IF(Project_Tracker[[#This Row],[Project Lead]]="", "", IFERROR(VLOOKUP(Project_Tracker[[#This Row],[Project Lead]], Setting!C:D, 2, 0), ""))</f>
        <v/>
      </c>
      <c r="T501" s="47"/>
      <c r="U501" s="37" t="str">
        <f>Project_Tracker[[#This Row],[Project Lead]]&amp;", "&amp;Project_Tracker[[#This Row],[Team Collaboration]]</f>
        <v xml:space="preserve">, </v>
      </c>
      <c r="V501" s="37"/>
      <c r="W501" s="37"/>
      <c r="X501" s="56"/>
      <c r="Y501" s="10"/>
      <c r="Z501" s="10"/>
    </row>
    <row r="502" spans="1:26" ht="10.199999999999999" x14ac:dyDescent="0.3">
      <c r="A502" s="17"/>
      <c r="B502" s="18"/>
      <c r="C502" s="95"/>
      <c r="D502" s="55"/>
      <c r="E502" s="131"/>
      <c r="F502" s="42"/>
      <c r="G502" s="20"/>
      <c r="H502" s="136"/>
      <c r="I502" s="23"/>
      <c r="J502" s="23"/>
      <c r="K502" s="23"/>
      <c r="L502" s="24"/>
      <c r="M502" s="24"/>
      <c r="N502" s="24"/>
      <c r="O502" s="24"/>
      <c r="P502" s="24"/>
      <c r="Q502" s="24"/>
      <c r="R502" s="24"/>
      <c r="S502" s="46" t="str">
        <f>IF(Project_Tracker[[#This Row],[Project Lead]]="", "", IFERROR(VLOOKUP(Project_Tracker[[#This Row],[Project Lead]], Setting!C:D, 2, 0), ""))</f>
        <v/>
      </c>
      <c r="T502" s="47"/>
      <c r="U502" s="37" t="str">
        <f>Project_Tracker[[#This Row],[Project Lead]]&amp;", "&amp;Project_Tracker[[#This Row],[Team Collaboration]]</f>
        <v xml:space="preserve">, </v>
      </c>
      <c r="V502" s="37"/>
      <c r="W502" s="37"/>
      <c r="X502" s="56"/>
      <c r="Y502" s="10"/>
      <c r="Z502" s="10"/>
    </row>
    <row r="503" spans="1:26" ht="10.199999999999999" x14ac:dyDescent="0.3">
      <c r="A503" s="17"/>
      <c r="B503" s="18"/>
      <c r="C503" s="95"/>
      <c r="D503" s="55"/>
      <c r="E503" s="131"/>
      <c r="F503" s="42"/>
      <c r="G503" s="20"/>
      <c r="H503" s="136"/>
      <c r="I503" s="23"/>
      <c r="J503" s="23"/>
      <c r="K503" s="23"/>
      <c r="L503" s="24"/>
      <c r="M503" s="24"/>
      <c r="N503" s="24"/>
      <c r="O503" s="24"/>
      <c r="P503" s="24"/>
      <c r="Q503" s="24"/>
      <c r="R503" s="24"/>
      <c r="S503" s="46" t="str">
        <f>IF(Project_Tracker[[#This Row],[Project Lead]]="", "", IFERROR(VLOOKUP(Project_Tracker[[#This Row],[Project Lead]], Setting!C:D, 2, 0), ""))</f>
        <v/>
      </c>
      <c r="T503" s="47"/>
      <c r="U503" s="37" t="str">
        <f>Project_Tracker[[#This Row],[Project Lead]]&amp;", "&amp;Project_Tracker[[#This Row],[Team Collaboration]]</f>
        <v xml:space="preserve">, </v>
      </c>
      <c r="V503" s="37"/>
      <c r="W503" s="37"/>
      <c r="X503" s="56"/>
      <c r="Y503" s="10"/>
      <c r="Z503" s="10"/>
    </row>
    <row r="504" spans="1:26" ht="10.199999999999999" x14ac:dyDescent="0.3">
      <c r="A504" s="17"/>
      <c r="B504" s="18"/>
      <c r="C504" s="95"/>
      <c r="D504" s="55"/>
      <c r="E504" s="131"/>
      <c r="F504" s="42"/>
      <c r="G504" s="20"/>
      <c r="H504" s="136"/>
      <c r="I504" s="23"/>
      <c r="J504" s="23"/>
      <c r="K504" s="23"/>
      <c r="L504" s="24"/>
      <c r="M504" s="24"/>
      <c r="N504" s="24"/>
      <c r="O504" s="24"/>
      <c r="P504" s="24"/>
      <c r="Q504" s="24"/>
      <c r="R504" s="24"/>
      <c r="S504" s="46" t="str">
        <f>IF(Project_Tracker[[#This Row],[Project Lead]]="", "", IFERROR(VLOOKUP(Project_Tracker[[#This Row],[Project Lead]], Setting!C:D, 2, 0), ""))</f>
        <v/>
      </c>
      <c r="T504" s="47"/>
      <c r="U504" s="37" t="str">
        <f>Project_Tracker[[#This Row],[Project Lead]]&amp;", "&amp;Project_Tracker[[#This Row],[Team Collaboration]]</f>
        <v xml:space="preserve">, </v>
      </c>
      <c r="V504" s="37"/>
      <c r="W504" s="37"/>
      <c r="X504" s="56"/>
      <c r="Y504" s="10"/>
      <c r="Z504" s="10"/>
    </row>
    <row r="505" spans="1:26" ht="10.199999999999999" x14ac:dyDescent="0.3">
      <c r="A505" s="17"/>
      <c r="B505" s="18"/>
      <c r="C505" s="95"/>
      <c r="D505" s="55"/>
      <c r="E505" s="131"/>
      <c r="F505" s="42"/>
      <c r="G505" s="20"/>
      <c r="H505" s="136"/>
      <c r="I505" s="23"/>
      <c r="J505" s="23"/>
      <c r="K505" s="23"/>
      <c r="L505" s="24"/>
      <c r="M505" s="24"/>
      <c r="N505" s="24"/>
      <c r="O505" s="24"/>
      <c r="P505" s="24"/>
      <c r="Q505" s="24"/>
      <c r="R505" s="24"/>
      <c r="S505" s="46" t="str">
        <f>IF(Project_Tracker[[#This Row],[Project Lead]]="", "", IFERROR(VLOOKUP(Project_Tracker[[#This Row],[Project Lead]], Setting!C:D, 2, 0), ""))</f>
        <v/>
      </c>
      <c r="T505" s="47"/>
      <c r="U505" s="37" t="str">
        <f>Project_Tracker[[#This Row],[Project Lead]]&amp;", "&amp;Project_Tracker[[#This Row],[Team Collaboration]]</f>
        <v xml:space="preserve">, </v>
      </c>
      <c r="V505" s="37"/>
      <c r="W505" s="37"/>
      <c r="X505" s="56"/>
      <c r="Y505" s="10"/>
      <c r="Z505" s="10"/>
    </row>
    <row r="506" spans="1:26" ht="10.199999999999999" x14ac:dyDescent="0.3">
      <c r="A506" s="71"/>
      <c r="B506" s="72"/>
      <c r="C506" s="73"/>
      <c r="D506" s="53"/>
      <c r="E506" s="143"/>
      <c r="F506" s="74"/>
      <c r="G506" s="75"/>
      <c r="H506" s="144"/>
      <c r="I506" s="76"/>
      <c r="J506" s="76"/>
      <c r="K506" s="76"/>
      <c r="L506" s="77"/>
      <c r="M506" s="77"/>
      <c r="N506" s="77"/>
      <c r="O506" s="77"/>
      <c r="P506" s="77"/>
      <c r="Q506" s="77"/>
      <c r="R506" s="77"/>
      <c r="S506" s="78" t="str">
        <f>IF(Project_Tracker[[#This Row],[Project Lead]]="", "", IFERROR(VLOOKUP(Project_Tracker[[#This Row],[Project Lead]], Setting!C:D, 2, 0), ""))</f>
        <v/>
      </c>
      <c r="T506" s="79"/>
      <c r="U506" s="80" t="str">
        <f>Project_Tracker[[#This Row],[Project Lead]]&amp;", "&amp;Project_Tracker[[#This Row],[Team Collaboration]]</f>
        <v xml:space="preserve">, </v>
      </c>
      <c r="V506" s="80"/>
      <c r="W506" s="80"/>
      <c r="X506" s="81"/>
      <c r="Y506" s="10"/>
      <c r="Z506" s="10"/>
    </row>
    <row r="507" spans="1:26" ht="10.199999999999999" x14ac:dyDescent="0.3">
      <c r="A507" s="71"/>
      <c r="B507" s="72"/>
      <c r="C507" s="73"/>
      <c r="D507" s="53"/>
      <c r="E507" s="143"/>
      <c r="F507" s="74"/>
      <c r="G507" s="75"/>
      <c r="H507" s="144"/>
      <c r="I507" s="76"/>
      <c r="J507" s="76"/>
      <c r="K507" s="76"/>
      <c r="L507" s="77"/>
      <c r="M507" s="77"/>
      <c r="N507" s="77"/>
      <c r="O507" s="77"/>
      <c r="P507" s="77"/>
      <c r="Q507" s="77"/>
      <c r="R507" s="77"/>
      <c r="S507" s="78" t="str">
        <f>IF(Project_Tracker[[#This Row],[Project Lead]]="", "", IFERROR(VLOOKUP(Project_Tracker[[#This Row],[Project Lead]], Setting!C:D, 2, 0), ""))</f>
        <v/>
      </c>
      <c r="T507" s="79"/>
      <c r="U507" s="80" t="str">
        <f>Project_Tracker[[#This Row],[Project Lead]]&amp;", "&amp;Project_Tracker[[#This Row],[Team Collaboration]]</f>
        <v xml:space="preserve">, </v>
      </c>
      <c r="V507" s="80"/>
      <c r="W507" s="80"/>
      <c r="X507" s="81"/>
      <c r="Y507" s="10"/>
      <c r="Z507" s="10"/>
    </row>
  </sheetData>
  <phoneticPr fontId="5" type="noConversion"/>
  <conditionalFormatting sqref="H2:H125">
    <cfRule type="cellIs" dxfId="9" priority="110" operator="equal">
      <formula>0</formula>
    </cfRule>
    <cfRule type="dataBar" priority="111">
      <dataBar>
        <cfvo type="num" val="0"/>
        <cfvo type="num" val="1"/>
        <color rgb="FF92D050"/>
      </dataBar>
      <extLst>
        <ext xmlns:x14="http://schemas.microsoft.com/office/spreadsheetml/2009/9/main" uri="{B025F937-C7B1-47D3-B67F-A62EFF666E3E}">
          <x14:id>{9CA72D92-E5A3-4204-8BFF-988C150A17AE}</x14:id>
        </ext>
      </extLst>
    </cfRule>
  </conditionalFormatting>
  <conditionalFormatting sqref="H126:H133">
    <cfRule type="colorScale" priority="50">
      <colorScale>
        <cfvo type="min"/>
        <cfvo type="percentile" val="50"/>
        <cfvo type="max"/>
        <color rgb="FFE67C73"/>
        <color rgb="FFFFFFFF"/>
        <color rgb="FF57BB8A"/>
      </colorScale>
    </cfRule>
  </conditionalFormatting>
  <conditionalFormatting sqref="H134:H164">
    <cfRule type="colorScale" priority="48">
      <colorScale>
        <cfvo type="min"/>
        <cfvo type="percentile" val="50"/>
        <cfvo type="max"/>
        <color rgb="FFE67C73"/>
        <color rgb="FFFFFFFF"/>
        <color rgb="FF57BB8A"/>
      </colorScale>
    </cfRule>
  </conditionalFormatting>
  <conditionalFormatting sqref="H165:H171">
    <cfRule type="colorScale" priority="45">
      <colorScale>
        <cfvo type="min"/>
        <cfvo type="percentile" val="50"/>
        <cfvo type="max"/>
        <color rgb="FFE67C73"/>
        <color rgb="FFFFFFFF"/>
        <color rgb="FF57BB8A"/>
      </colorScale>
    </cfRule>
  </conditionalFormatting>
  <conditionalFormatting sqref="H172">
    <cfRule type="colorScale" priority="43">
      <colorScale>
        <cfvo type="min"/>
        <cfvo type="percentile" val="50"/>
        <cfvo type="max"/>
        <color rgb="FFE67C73"/>
        <color rgb="FFFFFFFF"/>
        <color rgb="FF57BB8A"/>
      </colorScale>
    </cfRule>
  </conditionalFormatting>
  <conditionalFormatting sqref="H173:H174">
    <cfRule type="colorScale" priority="9">
      <colorScale>
        <cfvo type="min"/>
        <cfvo type="percentile" val="50"/>
        <cfvo type="max"/>
        <color rgb="FFE67C73"/>
        <color rgb="FFFFFFFF"/>
        <color rgb="FF57BB8A"/>
      </colorScale>
    </cfRule>
  </conditionalFormatting>
  <conditionalFormatting sqref="H175:H176">
    <cfRule type="colorScale" priority="42">
      <colorScale>
        <cfvo type="min"/>
        <cfvo type="percentile" val="50"/>
        <cfvo type="max"/>
        <color rgb="FFE67C73"/>
        <color rgb="FFFFFFFF"/>
        <color rgb="FF57BB8A"/>
      </colorScale>
    </cfRule>
  </conditionalFormatting>
  <conditionalFormatting sqref="H177">
    <cfRule type="colorScale" priority="6">
      <colorScale>
        <cfvo type="min"/>
        <cfvo type="percentile" val="50"/>
        <cfvo type="max"/>
        <color rgb="FFE67C73"/>
        <color rgb="FFFFFFFF"/>
        <color rgb="FF57BB8A"/>
      </colorScale>
    </cfRule>
  </conditionalFormatting>
  <conditionalFormatting sqref="H182">
    <cfRule type="colorScale" priority="4">
      <colorScale>
        <cfvo type="min"/>
        <cfvo type="percentile" val="50"/>
        <cfvo type="max"/>
        <color rgb="FFE67C73"/>
        <color rgb="FFFFFFFF"/>
        <color rgb="FF57BB8A"/>
      </colorScale>
    </cfRule>
  </conditionalFormatting>
  <conditionalFormatting sqref="H183 H179 H181">
    <cfRule type="colorScale" priority="7">
      <colorScale>
        <cfvo type="min"/>
        <cfvo type="percentile" val="50"/>
        <cfvo type="max"/>
        <color rgb="FFE67C73"/>
        <color rgb="FFFFFFFF"/>
        <color rgb="FF57BB8A"/>
      </colorScale>
    </cfRule>
  </conditionalFormatting>
  <conditionalFormatting sqref="H190">
    <cfRule type="colorScale" priority="32">
      <colorScale>
        <cfvo type="min"/>
        <cfvo type="percentile" val="50"/>
        <cfvo type="max"/>
        <color rgb="FFE67C73"/>
        <color rgb="FFFFFFFF"/>
        <color rgb="FF57BB8A"/>
      </colorScale>
    </cfRule>
  </conditionalFormatting>
  <conditionalFormatting sqref="H194">
    <cfRule type="colorScale" priority="28">
      <colorScale>
        <cfvo type="min"/>
        <cfvo type="percentile" val="50"/>
        <cfvo type="max"/>
        <color rgb="FFE67C73"/>
        <color rgb="FFFFFFFF"/>
        <color rgb="FF57BB8A"/>
      </colorScale>
    </cfRule>
  </conditionalFormatting>
  <conditionalFormatting sqref="H195:H209">
    <cfRule type="colorScale" priority="26">
      <colorScale>
        <cfvo type="min"/>
        <cfvo type="percentile" val="50"/>
        <cfvo type="max"/>
        <color rgb="FFE67C73"/>
        <color rgb="FFFFFFFF"/>
        <color rgb="FF57BB8A"/>
      </colorScale>
    </cfRule>
  </conditionalFormatting>
  <conditionalFormatting sqref="H210">
    <cfRule type="colorScale" priority="164">
      <colorScale>
        <cfvo type="min"/>
        <cfvo type="percentile" val="50"/>
        <cfvo type="max"/>
        <color rgb="FFE67C73"/>
        <color rgb="FFFFFFFF"/>
        <color rgb="FF57BB8A"/>
      </colorScale>
    </cfRule>
  </conditionalFormatting>
  <conditionalFormatting sqref="H211:H220">
    <cfRule type="colorScale" priority="19">
      <colorScale>
        <cfvo type="min"/>
        <cfvo type="percentile" val="50"/>
        <cfvo type="max"/>
        <color rgb="FFE67C73"/>
        <color rgb="FFFFFFFF"/>
        <color rgb="FF57BB8A"/>
      </colorScale>
    </cfRule>
  </conditionalFormatting>
  <conditionalFormatting sqref="H221:H222 H232 H230 H227 H224">
    <cfRule type="colorScale" priority="1">
      <colorScale>
        <cfvo type="min"/>
        <cfvo type="percentile" val="50"/>
        <cfvo type="max"/>
        <color rgb="FFE67C73"/>
        <color rgb="FFFFFFFF"/>
        <color rgb="FF57BB8A"/>
      </colorScale>
    </cfRule>
  </conditionalFormatting>
  <conditionalFormatting sqref="H225:H226 H223 H228:H229 H231 H233">
    <cfRule type="colorScale" priority="14">
      <colorScale>
        <cfvo type="min"/>
        <cfvo type="percentile" val="50"/>
        <cfvo type="max"/>
        <color rgb="FFE67C73"/>
        <color rgb="FFFFFFFF"/>
        <color rgb="FF57BB8A"/>
      </colorScale>
    </cfRule>
  </conditionalFormatting>
  <conditionalFormatting sqref="H239:H243">
    <cfRule type="colorScale" priority="11">
      <colorScale>
        <cfvo type="min"/>
        <cfvo type="percentile" val="50"/>
        <cfvo type="max"/>
        <color rgb="FFE67C73"/>
        <color rgb="FFFFFFFF"/>
        <color rgb="FF57BB8A"/>
      </colorScale>
    </cfRule>
  </conditionalFormatting>
  <conditionalFormatting sqref="H178:I178 H180">
    <cfRule type="colorScale" priority="40">
      <colorScale>
        <cfvo type="min"/>
        <cfvo type="percentile" val="50"/>
        <cfvo type="max"/>
        <color rgb="FFE67C73"/>
        <color rgb="FFFFFFFF"/>
        <color rgb="FF57BB8A"/>
      </colorScale>
    </cfRule>
  </conditionalFormatting>
  <conditionalFormatting sqref="H189:I189 H188 H184:I187">
    <cfRule type="colorScale" priority="34">
      <colorScale>
        <cfvo type="min"/>
        <cfvo type="percentile" val="50"/>
        <cfvo type="max"/>
        <color rgb="FFE67C73"/>
        <color rgb="FFFFFFFF"/>
        <color rgb="FF57BB8A"/>
      </colorScale>
    </cfRule>
  </conditionalFormatting>
  <conditionalFormatting sqref="H234:I237">
    <cfRule type="colorScale" priority="12">
      <colorScale>
        <cfvo type="min"/>
        <cfvo type="percentile" val="50"/>
        <cfvo type="max"/>
        <color rgb="FFE67C73"/>
        <color rgb="FFFFFFFF"/>
        <color rgb="FF57BB8A"/>
      </colorScale>
    </cfRule>
  </conditionalFormatting>
  <conditionalFormatting sqref="H238:I238">
    <cfRule type="colorScale" priority="3">
      <colorScale>
        <cfvo type="min"/>
        <cfvo type="percentile" val="50"/>
        <cfvo type="max"/>
        <color rgb="FFE67C73"/>
        <color rgb="FFFFFFFF"/>
        <color rgb="FF57BB8A"/>
      </colorScale>
    </cfRule>
  </conditionalFormatting>
  <conditionalFormatting sqref="I3">
    <cfRule type="colorScale" priority="99">
      <colorScale>
        <cfvo type="min"/>
        <cfvo type="percentile" val="50"/>
        <cfvo type="max"/>
        <color rgb="FFE67C73"/>
        <color rgb="FFFFFFFF"/>
        <color rgb="FF57BB8A"/>
      </colorScale>
    </cfRule>
  </conditionalFormatting>
  <conditionalFormatting sqref="I4">
    <cfRule type="colorScale" priority="57">
      <colorScale>
        <cfvo type="min"/>
        <cfvo type="percentile" val="50"/>
        <cfvo type="max"/>
        <color rgb="FFE67C73"/>
        <color rgb="FFFFFFFF"/>
        <color rgb="FF57BB8A"/>
      </colorScale>
    </cfRule>
  </conditionalFormatting>
  <conditionalFormatting sqref="I6">
    <cfRule type="colorScale" priority="95">
      <colorScale>
        <cfvo type="min"/>
        <cfvo type="percentile" val="50"/>
        <cfvo type="max"/>
        <color rgb="FFE67C73"/>
        <color rgb="FFFFFFFF"/>
        <color rgb="FF57BB8A"/>
      </colorScale>
    </cfRule>
  </conditionalFormatting>
  <conditionalFormatting sqref="I8">
    <cfRule type="colorScale" priority="97">
      <colorScale>
        <cfvo type="min"/>
        <cfvo type="percentile" val="50"/>
        <cfvo type="max"/>
        <color rgb="FFE67C73"/>
        <color rgb="FFFFFFFF"/>
        <color rgb="FF57BB8A"/>
      </colorScale>
    </cfRule>
  </conditionalFormatting>
  <conditionalFormatting sqref="I12">
    <cfRule type="colorScale" priority="93">
      <colorScale>
        <cfvo type="min"/>
        <cfvo type="percentile" val="50"/>
        <cfvo type="max"/>
        <color rgb="FFE67C73"/>
        <color rgb="FFFFFFFF"/>
        <color rgb="FF57BB8A"/>
      </colorScale>
    </cfRule>
  </conditionalFormatting>
  <conditionalFormatting sqref="I15">
    <cfRule type="colorScale" priority="90">
      <colorScale>
        <cfvo type="min"/>
        <cfvo type="percentile" val="50"/>
        <cfvo type="max"/>
        <color rgb="FFE67C73"/>
        <color rgb="FFFFFFFF"/>
        <color rgb="FF57BB8A"/>
      </colorScale>
    </cfRule>
  </conditionalFormatting>
  <conditionalFormatting sqref="I17:I18">
    <cfRule type="colorScale" priority="86">
      <colorScale>
        <cfvo type="min"/>
        <cfvo type="percentile" val="50"/>
        <cfvo type="max"/>
        <color rgb="FFE67C73"/>
        <color rgb="FFFFFFFF"/>
        <color rgb="FF57BB8A"/>
      </colorScale>
    </cfRule>
  </conditionalFormatting>
  <conditionalFormatting sqref="I19 I22 I24:I26">
    <cfRule type="colorScale" priority="121">
      <colorScale>
        <cfvo type="min"/>
        <cfvo type="percentile" val="50"/>
        <cfvo type="max"/>
        <color rgb="FFE67C73"/>
        <color rgb="FFFFFFFF"/>
        <color rgb="FF57BB8A"/>
      </colorScale>
    </cfRule>
  </conditionalFormatting>
  <conditionalFormatting sqref="I29">
    <cfRule type="colorScale" priority="84">
      <colorScale>
        <cfvo type="min"/>
        <cfvo type="percentile" val="50"/>
        <cfvo type="max"/>
        <color rgb="FFE67C73"/>
        <color rgb="FFFFFFFF"/>
        <color rgb="FF57BB8A"/>
      </colorScale>
    </cfRule>
  </conditionalFormatting>
  <conditionalFormatting sqref="I30:I31">
    <cfRule type="colorScale" priority="83">
      <colorScale>
        <cfvo type="min"/>
        <cfvo type="percentile" val="50"/>
        <cfvo type="max"/>
        <color rgb="FFE67C73"/>
        <color rgb="FFFFFFFF"/>
        <color rgb="FF57BB8A"/>
      </colorScale>
    </cfRule>
  </conditionalFormatting>
  <conditionalFormatting sqref="I32">
    <cfRule type="colorScale" priority="62">
      <colorScale>
        <cfvo type="min"/>
        <cfvo type="percentile" val="50"/>
        <cfvo type="max"/>
        <color rgb="FFE67C73"/>
        <color rgb="FFFFFFFF"/>
        <color rgb="FF57BB8A"/>
      </colorScale>
    </cfRule>
  </conditionalFormatting>
  <conditionalFormatting sqref="I33">
    <cfRule type="colorScale" priority="61">
      <colorScale>
        <cfvo type="min"/>
        <cfvo type="percentile" val="50"/>
        <cfvo type="max"/>
        <color rgb="FFE67C73"/>
        <color rgb="FFFFFFFF"/>
        <color rgb="FF57BB8A"/>
      </colorScale>
    </cfRule>
  </conditionalFormatting>
  <conditionalFormatting sqref="I34">
    <cfRule type="colorScale" priority="60">
      <colorScale>
        <cfvo type="min"/>
        <cfvo type="percentile" val="50"/>
        <cfvo type="max"/>
        <color rgb="FFE67C73"/>
        <color rgb="FFFFFFFF"/>
        <color rgb="FF57BB8A"/>
      </colorScale>
    </cfRule>
  </conditionalFormatting>
  <conditionalFormatting sqref="I35:I36">
    <cfRule type="colorScale" priority="126">
      <colorScale>
        <cfvo type="min"/>
        <cfvo type="percentile" val="50"/>
        <cfvo type="max"/>
        <color rgb="FFE67C73"/>
        <color rgb="FFFFFFFF"/>
        <color rgb="FF57BB8A"/>
      </colorScale>
    </cfRule>
  </conditionalFormatting>
  <conditionalFormatting sqref="I42:I44">
    <cfRule type="colorScale" priority="80">
      <colorScale>
        <cfvo type="min"/>
        <cfvo type="percentile" val="50"/>
        <cfvo type="max"/>
        <color rgb="FFE67C73"/>
        <color rgb="FFFFFFFF"/>
        <color rgb="FF57BB8A"/>
      </colorScale>
    </cfRule>
  </conditionalFormatting>
  <conditionalFormatting sqref="I46">
    <cfRule type="colorScale" priority="78">
      <colorScale>
        <cfvo type="min"/>
        <cfvo type="percentile" val="50"/>
        <cfvo type="max"/>
        <color rgb="FFE67C73"/>
        <color rgb="FFFFFFFF"/>
        <color rgb="FF57BB8A"/>
      </colorScale>
    </cfRule>
  </conditionalFormatting>
  <conditionalFormatting sqref="I54:I56 I62:I63 I65:I69">
    <cfRule type="colorScale" priority="158">
      <colorScale>
        <cfvo type="min"/>
        <cfvo type="percentile" val="50"/>
        <cfvo type="max"/>
        <color rgb="FFE67C73"/>
        <color rgb="FFFFFFFF"/>
        <color rgb="FF57BB8A"/>
      </colorScale>
    </cfRule>
  </conditionalFormatting>
  <conditionalFormatting sqref="I86:I87 I89:I93">
    <cfRule type="colorScale" priority="116">
      <colorScale>
        <cfvo type="min"/>
        <cfvo type="percentile" val="50"/>
        <cfvo type="max"/>
        <color rgb="FFE67C73"/>
        <color rgb="FFFFFFFF"/>
        <color rgb="FF57BB8A"/>
      </colorScale>
    </cfRule>
  </conditionalFormatting>
  <conditionalFormatting sqref="I88">
    <cfRule type="colorScale" priority="96">
      <colorScale>
        <cfvo type="min"/>
        <cfvo type="percentile" val="50"/>
        <cfvo type="max"/>
        <color rgb="FFE67C73"/>
        <color rgb="FFFFFFFF"/>
        <color rgb="FF57BB8A"/>
      </colorScale>
    </cfRule>
  </conditionalFormatting>
  <conditionalFormatting sqref="I94:I98 I100">
    <cfRule type="colorScale" priority="73">
      <colorScale>
        <cfvo type="min"/>
        <cfvo type="percentile" val="50"/>
        <cfvo type="max"/>
        <color rgb="FFE67C73"/>
        <color rgb="FFFFFFFF"/>
        <color rgb="FF57BB8A"/>
      </colorScale>
    </cfRule>
  </conditionalFormatting>
  <conditionalFormatting sqref="I99">
    <cfRule type="colorScale" priority="72">
      <colorScale>
        <cfvo type="min"/>
        <cfvo type="percentile" val="50"/>
        <cfvo type="max"/>
        <color rgb="FFE67C73"/>
        <color rgb="FFFFFFFF"/>
        <color rgb="FF57BB8A"/>
      </colorScale>
    </cfRule>
  </conditionalFormatting>
  <conditionalFormatting sqref="I101:I102 I111">
    <cfRule type="colorScale" priority="70">
      <colorScale>
        <cfvo type="min"/>
        <cfvo type="percentile" val="50"/>
        <cfvo type="max"/>
        <color rgb="FFE67C73"/>
        <color rgb="FFFFFFFF"/>
        <color rgb="FF57BB8A"/>
      </colorScale>
    </cfRule>
  </conditionalFormatting>
  <conditionalFormatting sqref="I103:I106">
    <cfRule type="colorScale" priority="66">
      <colorScale>
        <cfvo type="min"/>
        <cfvo type="percentile" val="50"/>
        <cfvo type="max"/>
        <color rgb="FFE67C73"/>
        <color rgb="FFFFFFFF"/>
        <color rgb="FF57BB8A"/>
      </colorScale>
    </cfRule>
  </conditionalFormatting>
  <conditionalFormatting sqref="I103:I109 I112:I113">
    <cfRule type="colorScale" priority="69">
      <colorScale>
        <cfvo type="min"/>
        <cfvo type="percentile" val="50"/>
        <cfvo type="max"/>
        <color rgb="FFE67C73"/>
        <color rgb="FFFFFFFF"/>
        <color rgb="FF57BB8A"/>
      </colorScale>
    </cfRule>
  </conditionalFormatting>
  <conditionalFormatting sqref="I108:I109">
    <cfRule type="colorScale" priority="67">
      <colorScale>
        <cfvo type="min"/>
        <cfvo type="percentile" val="50"/>
        <cfvo type="max"/>
        <color rgb="FFE67C73"/>
        <color rgb="FFFFFFFF"/>
        <color rgb="FF57BB8A"/>
      </colorScale>
    </cfRule>
  </conditionalFormatting>
  <conditionalFormatting sqref="I110">
    <cfRule type="colorScale" priority="71">
      <colorScale>
        <cfvo type="min"/>
        <cfvo type="percentile" val="50"/>
        <cfvo type="max"/>
        <color rgb="FFE67C73"/>
        <color rgb="FFFFFFFF"/>
        <color rgb="FF57BB8A"/>
      </colorScale>
    </cfRule>
  </conditionalFormatting>
  <conditionalFormatting sqref="I112:I113">
    <cfRule type="colorScale" priority="68">
      <colorScale>
        <cfvo type="min"/>
        <cfvo type="percentile" val="50"/>
        <cfvo type="max"/>
        <color rgb="FFE67C73"/>
        <color rgb="FFFFFFFF"/>
        <color rgb="FF57BB8A"/>
      </colorScale>
    </cfRule>
  </conditionalFormatting>
  <conditionalFormatting sqref="I114:I115">
    <cfRule type="colorScale" priority="65">
      <colorScale>
        <cfvo type="min"/>
        <cfvo type="percentile" val="50"/>
        <cfvo type="max"/>
        <color rgb="FFE67C73"/>
        <color rgb="FFFFFFFF"/>
        <color rgb="FF57BB8A"/>
      </colorScale>
    </cfRule>
  </conditionalFormatting>
  <conditionalFormatting sqref="I116">
    <cfRule type="colorScale" priority="64">
      <colorScale>
        <cfvo type="min"/>
        <cfvo type="percentile" val="50"/>
        <cfvo type="max"/>
        <color rgb="FFE67C73"/>
        <color rgb="FFFFFFFF"/>
        <color rgb="FF57BB8A"/>
      </colorScale>
    </cfRule>
  </conditionalFormatting>
  <conditionalFormatting sqref="I121:I122">
    <cfRule type="colorScale" priority="54">
      <colorScale>
        <cfvo type="min"/>
        <cfvo type="percentile" val="50"/>
        <cfvo type="max"/>
        <color rgb="FFE67C73"/>
        <color rgb="FFFFFFFF"/>
        <color rgb="FF57BB8A"/>
      </colorScale>
    </cfRule>
    <cfRule type="colorScale" priority="55">
      <colorScale>
        <cfvo type="min"/>
        <cfvo type="percentile" val="50"/>
        <cfvo type="max"/>
        <color rgb="FFE67C73"/>
        <color rgb="FFFFFFFF"/>
        <color rgb="FF57BB8A"/>
      </colorScale>
    </cfRule>
  </conditionalFormatting>
  <conditionalFormatting sqref="I123">
    <cfRule type="colorScale" priority="53">
      <colorScale>
        <cfvo type="min"/>
        <cfvo type="percentile" val="50"/>
        <cfvo type="max"/>
        <color rgb="FFE67C73"/>
        <color rgb="FFFFFFFF"/>
        <color rgb="FF57BB8A"/>
      </colorScale>
    </cfRule>
  </conditionalFormatting>
  <conditionalFormatting sqref="I125">
    <cfRule type="colorScale" priority="163">
      <colorScale>
        <cfvo type="min"/>
        <cfvo type="percentile" val="50"/>
        <cfvo type="max"/>
        <color rgb="FFE67C73"/>
        <color rgb="FFFFFFFF"/>
        <color rgb="FF57BB8A"/>
      </colorScale>
    </cfRule>
  </conditionalFormatting>
  <conditionalFormatting sqref="I126:I133">
    <cfRule type="colorScale" priority="49">
      <colorScale>
        <cfvo type="min"/>
        <cfvo type="percentile" val="50"/>
        <cfvo type="max"/>
        <color rgb="FFE67C73"/>
        <color rgb="FFFFFFFF"/>
        <color rgb="FF57BB8A"/>
      </colorScale>
    </cfRule>
  </conditionalFormatting>
  <conditionalFormatting sqref="I134:I164">
    <cfRule type="colorScale" priority="47">
      <colorScale>
        <cfvo type="min"/>
        <cfvo type="percentile" val="50"/>
        <cfvo type="max"/>
        <color rgb="FFE67C73"/>
        <color rgb="FFFFFFFF"/>
        <color rgb="FF57BB8A"/>
      </colorScale>
    </cfRule>
  </conditionalFormatting>
  <conditionalFormatting sqref="I165:I171">
    <cfRule type="colorScale" priority="46">
      <colorScale>
        <cfvo type="min"/>
        <cfvo type="percentile" val="50"/>
        <cfvo type="max"/>
        <color rgb="FFE67C73"/>
        <color rgb="FFFFFFFF"/>
        <color rgb="FF57BB8A"/>
      </colorScale>
    </cfRule>
  </conditionalFormatting>
  <conditionalFormatting sqref="I172:I174">
    <cfRule type="colorScale" priority="44">
      <colorScale>
        <cfvo type="min"/>
        <cfvo type="percentile" val="50"/>
        <cfvo type="max"/>
        <color rgb="FFE67C73"/>
        <color rgb="FFFFFFFF"/>
        <color rgb="FF57BB8A"/>
      </colorScale>
    </cfRule>
  </conditionalFormatting>
  <conditionalFormatting sqref="I175:I176">
    <cfRule type="colorScale" priority="41">
      <colorScale>
        <cfvo type="min"/>
        <cfvo type="percentile" val="50"/>
        <cfvo type="max"/>
        <color rgb="FFE67C73"/>
        <color rgb="FFFFFFFF"/>
        <color rgb="FF57BB8A"/>
      </colorScale>
    </cfRule>
  </conditionalFormatting>
  <conditionalFormatting sqref="I177">
    <cfRule type="colorScale" priority="37">
      <colorScale>
        <cfvo type="min"/>
        <cfvo type="percentile" val="50"/>
        <cfvo type="max"/>
        <color rgb="FFE67C73"/>
        <color rgb="FFFFFFFF"/>
        <color rgb="FF57BB8A"/>
      </colorScale>
    </cfRule>
  </conditionalFormatting>
  <conditionalFormatting sqref="I179">
    <cfRule type="colorScale" priority="36">
      <colorScale>
        <cfvo type="min"/>
        <cfvo type="percentile" val="50"/>
        <cfvo type="max"/>
        <color rgb="FFE67C73"/>
        <color rgb="FFFFFFFF"/>
        <color rgb="FF57BB8A"/>
      </colorScale>
    </cfRule>
  </conditionalFormatting>
  <conditionalFormatting sqref="I180">
    <cfRule type="colorScale" priority="39">
      <colorScale>
        <cfvo type="min"/>
        <cfvo type="percentile" val="50"/>
        <cfvo type="max"/>
        <color rgb="FFE67C73"/>
        <color rgb="FFFFFFFF"/>
        <color rgb="FF57BB8A"/>
      </colorScale>
    </cfRule>
  </conditionalFormatting>
  <conditionalFormatting sqref="I181">
    <cfRule type="colorScale" priority="38">
      <colorScale>
        <cfvo type="min"/>
        <cfvo type="percentile" val="50"/>
        <cfvo type="max"/>
        <color rgb="FFE67C73"/>
        <color rgb="FFFFFFFF"/>
        <color rgb="FF57BB8A"/>
      </colorScale>
    </cfRule>
  </conditionalFormatting>
  <conditionalFormatting sqref="I182:I183">
    <cfRule type="colorScale" priority="35">
      <colorScale>
        <cfvo type="min"/>
        <cfvo type="percentile" val="50"/>
        <cfvo type="max"/>
        <color rgb="FFE67C73"/>
        <color rgb="FFFFFFFF"/>
        <color rgb="FF57BB8A"/>
      </colorScale>
    </cfRule>
  </conditionalFormatting>
  <conditionalFormatting sqref="I188">
    <cfRule type="colorScale" priority="33">
      <colorScale>
        <cfvo type="min"/>
        <cfvo type="percentile" val="50"/>
        <cfvo type="max"/>
        <color rgb="FFE67C73"/>
        <color rgb="FFFFFFFF"/>
        <color rgb="FF57BB8A"/>
      </colorScale>
    </cfRule>
  </conditionalFormatting>
  <conditionalFormatting sqref="I190">
    <cfRule type="colorScale" priority="31">
      <colorScale>
        <cfvo type="min"/>
        <cfvo type="percentile" val="50"/>
        <cfvo type="max"/>
        <color rgb="FFE67C73"/>
        <color rgb="FFFFFFFF"/>
        <color rgb="FF57BB8A"/>
      </colorScale>
    </cfRule>
  </conditionalFormatting>
  <conditionalFormatting sqref="I191">
    <cfRule type="colorScale" priority="29">
      <colorScale>
        <cfvo type="min"/>
        <cfvo type="percentile" val="50"/>
        <cfvo type="max"/>
        <color rgb="FFE67C73"/>
        <color rgb="FFFFFFFF"/>
        <color rgb="FF57BB8A"/>
      </colorScale>
    </cfRule>
  </conditionalFormatting>
  <conditionalFormatting sqref="I192:I193 H191:H193">
    <cfRule type="colorScale" priority="30">
      <colorScale>
        <cfvo type="min"/>
        <cfvo type="percentile" val="50"/>
        <cfvo type="max"/>
        <color rgb="FFE67C73"/>
        <color rgb="FFFFFFFF"/>
        <color rgb="FF57BB8A"/>
      </colorScale>
    </cfRule>
  </conditionalFormatting>
  <conditionalFormatting sqref="I194">
    <cfRule type="colorScale" priority="27">
      <colorScale>
        <cfvo type="min"/>
        <cfvo type="percentile" val="50"/>
        <cfvo type="max"/>
        <color rgb="FFE67C73"/>
        <color rgb="FFFFFFFF"/>
        <color rgb="FF57BB8A"/>
      </colorScale>
    </cfRule>
  </conditionalFormatting>
  <conditionalFormatting sqref="I195:I197">
    <cfRule type="colorScale" priority="23">
      <colorScale>
        <cfvo type="min"/>
        <cfvo type="percentile" val="50"/>
        <cfvo type="max"/>
        <color rgb="FFE67C73"/>
        <color rgb="FFFFFFFF"/>
        <color rgb="FF57BB8A"/>
      </colorScale>
    </cfRule>
  </conditionalFormatting>
  <conditionalFormatting sqref="I198:I200">
    <cfRule type="colorScale" priority="25">
      <colorScale>
        <cfvo type="min"/>
        <cfvo type="percentile" val="50"/>
        <cfvo type="max"/>
        <color rgb="FFE67C73"/>
        <color rgb="FFFFFFFF"/>
        <color rgb="FF57BB8A"/>
      </colorScale>
    </cfRule>
  </conditionalFormatting>
  <conditionalFormatting sqref="I201:I204">
    <cfRule type="colorScale" priority="24">
      <colorScale>
        <cfvo type="min"/>
        <cfvo type="percentile" val="50"/>
        <cfvo type="max"/>
        <color rgb="FFE67C73"/>
        <color rgb="FFFFFFFF"/>
        <color rgb="FF57BB8A"/>
      </colorScale>
    </cfRule>
  </conditionalFormatting>
  <conditionalFormatting sqref="I205:I209">
    <cfRule type="colorScale" priority="22">
      <colorScale>
        <cfvo type="min"/>
        <cfvo type="percentile" val="50"/>
        <cfvo type="max"/>
        <color rgb="FFE67C73"/>
        <color rgb="FFFFFFFF"/>
        <color rgb="FF57BB8A"/>
      </colorScale>
    </cfRule>
  </conditionalFormatting>
  <conditionalFormatting sqref="I210">
    <cfRule type="colorScale" priority="165">
      <colorScale>
        <cfvo type="min"/>
        <cfvo type="percentile" val="50"/>
        <cfvo type="max"/>
        <color rgb="FFE67C73"/>
        <color rgb="FFFFFFFF"/>
        <color rgb="FF57BB8A"/>
      </colorScale>
    </cfRule>
  </conditionalFormatting>
  <conditionalFormatting sqref="I211:I217">
    <cfRule type="colorScale" priority="17">
      <colorScale>
        <cfvo type="min"/>
        <cfvo type="percentile" val="50"/>
        <cfvo type="max"/>
        <color rgb="FFE67C73"/>
        <color rgb="FFFFFFFF"/>
        <color rgb="FF57BB8A"/>
      </colorScale>
    </cfRule>
  </conditionalFormatting>
  <conditionalFormatting sqref="I218:I220">
    <cfRule type="colorScale" priority="18">
      <colorScale>
        <cfvo type="min"/>
        <cfvo type="percentile" val="50"/>
        <cfvo type="max"/>
        <color rgb="FFE67C73"/>
        <color rgb="FFFFFFFF"/>
        <color rgb="FF57BB8A"/>
      </colorScale>
    </cfRule>
  </conditionalFormatting>
  <conditionalFormatting sqref="I221">
    <cfRule type="colorScale" priority="16">
      <colorScale>
        <cfvo type="min"/>
        <cfvo type="percentile" val="50"/>
        <cfvo type="max"/>
        <color rgb="FFE67C73"/>
        <color rgb="FFFFFFFF"/>
        <color rgb="FF57BB8A"/>
      </colorScale>
    </cfRule>
  </conditionalFormatting>
  <conditionalFormatting sqref="I222:I233">
    <cfRule type="colorScale" priority="13">
      <colorScale>
        <cfvo type="min"/>
        <cfvo type="percentile" val="50"/>
        <cfvo type="max"/>
        <color rgb="FFE67C73"/>
        <color rgb="FFFFFFFF"/>
        <color rgb="FF57BB8A"/>
      </colorScale>
    </cfRule>
  </conditionalFormatting>
  <conditionalFormatting sqref="I239:I243">
    <cfRule type="colorScale" priority="10">
      <colorScale>
        <cfvo type="min"/>
        <cfvo type="percentile" val="50"/>
        <cfvo type="max"/>
        <color rgb="FFE67C73"/>
        <color rgb="FFFFFFFF"/>
        <color rgb="FF57BB8A"/>
      </colorScale>
    </cfRule>
  </conditionalFormatting>
  <conditionalFormatting sqref="L1:L64 L70:L74 L76:L81 L83:L125">
    <cfRule type="cellIs" dxfId="8" priority="105" operator="equal">
      <formula>"Cancel"</formula>
    </cfRule>
    <cfRule type="cellIs" dxfId="7" priority="106" operator="equal">
      <formula>"Close"</formula>
    </cfRule>
    <cfRule type="cellIs" dxfId="6" priority="107" operator="equal">
      <formula>"Hold"</formula>
    </cfRule>
    <cfRule type="cellIs" dxfId="5" priority="108" operator="equal">
      <formula>"Open"</formula>
    </cfRule>
    <cfRule type="cellIs" dxfId="4" priority="109" operator="equal">
      <formula>"Open"</formula>
    </cfRule>
  </conditionalFormatting>
  <conditionalFormatting sqref="L2:L64 L70:L74 L76:L81 L83:L125">
    <cfRule type="cellIs" dxfId="3" priority="101" operator="equal">
      <formula>"Progress"</formula>
    </cfRule>
  </conditionalFormatting>
  <conditionalFormatting sqref="P1:P125">
    <cfRule type="cellIs" dxfId="2" priority="103" operator="equal">
      <formula>0</formula>
    </cfRule>
    <cfRule type="cellIs" dxfId="1" priority="104" operator="lessThan">
      <formula>0</formula>
    </cfRule>
  </conditionalFormatting>
  <conditionalFormatting sqref="P2:P125">
    <cfRule type="cellIs" dxfId="0" priority="102" operator="greaterThan">
      <formula>0</formula>
    </cfRule>
  </conditionalFormatting>
  <dataValidations count="1">
    <dataValidation type="date" operator="greaterThan" allowBlank="1" showInputMessage="1" showErrorMessage="1" sqref="I2:K125" xr:uid="{0C0E0A43-954C-40C4-899D-CA3D85CE9C7A}">
      <formula1>45292</formula1>
    </dataValidation>
  </dataValidations>
  <hyperlinks>
    <hyperlink ref="R88" r:id="rId1" xr:uid="{4F5F607E-4B7C-4090-B2E5-C8F6794F3380}"/>
  </hyperlinks>
  <pageMargins left="0.7" right="0.7" top="0.75" bottom="0.75" header="0.3" footer="0.3"/>
  <pageSetup paperSize="9" orientation="portrait" r:id="rId2"/>
  <legacyDrawing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9CA72D92-E5A3-4204-8BFF-988C150A17AE}">
            <x14:dataBar minLength="0" maxLength="100" gradient="0">
              <x14:cfvo type="num">
                <xm:f>0</xm:f>
              </x14:cfvo>
              <x14:cfvo type="num">
                <xm:f>1</xm:f>
              </x14:cfvo>
              <x14:negativeFillColor rgb="FFFF0000"/>
              <x14:axisColor rgb="FF000000"/>
            </x14:dataBar>
          </x14:cfRule>
          <xm:sqref>H2:H125</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FE55940B-2C9E-49E4-8747-C46DB58073B4}">
          <x14:formula1>
            <xm:f>Setting!$D$2:$D$9</xm:f>
          </x14:formula1>
          <xm:sqref>S2:T125</xm:sqref>
        </x14:dataValidation>
        <x14:dataValidation type="list" allowBlank="1" showInputMessage="1" showErrorMessage="1" xr:uid="{E4C91F1E-F972-4DAA-BFDB-5EBF8C3EABCE}">
          <x14:formula1>
            <xm:f>Setting!$A$2:$A$5</xm:f>
          </x14:formula1>
          <xm:sqref>L2:L64 L83:L125 L76:L81 L70:L74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E91-0BB7-48F0-9ED8-87B997A96635}">
  <dimension ref="A1:D248"/>
  <sheetViews>
    <sheetView workbookViewId="0">
      <selection activeCell="B1" sqref="A1:B1048576"/>
    </sheetView>
  </sheetViews>
  <sheetFormatPr defaultColWidth="8.44140625" defaultRowHeight="14.4" x14ac:dyDescent="0.3"/>
  <cols>
    <col min="1" max="1" width="9.44140625" bestFit="1" customWidth="1"/>
    <col min="2" max="2" width="9.44140625" customWidth="1"/>
    <col min="3" max="3" width="11.44140625" customWidth="1"/>
    <col min="4" max="4" width="37.44140625" customWidth="1"/>
    <col min="5" max="5" width="19.44140625" bestFit="1" customWidth="1"/>
  </cols>
  <sheetData>
    <row r="1" spans="1:4" x14ac:dyDescent="0.3">
      <c r="A1" s="1" t="s">
        <v>11</v>
      </c>
      <c r="C1" s="1" t="s">
        <v>789</v>
      </c>
      <c r="D1" s="1" t="s">
        <v>790</v>
      </c>
    </row>
    <row r="2" spans="1:4" x14ac:dyDescent="0.3">
      <c r="A2" s="2" t="s">
        <v>44</v>
      </c>
      <c r="C2" t="s">
        <v>41</v>
      </c>
      <c r="D2" s="8" t="s">
        <v>791</v>
      </c>
    </row>
    <row r="3" spans="1:4" x14ac:dyDescent="0.3">
      <c r="A3" s="3" t="s">
        <v>55</v>
      </c>
      <c r="C3" t="s">
        <v>70</v>
      </c>
      <c r="D3" s="8" t="s">
        <v>792</v>
      </c>
    </row>
    <row r="4" spans="1:4" x14ac:dyDescent="0.3">
      <c r="A4" s="4" t="s">
        <v>35</v>
      </c>
      <c r="C4" t="s">
        <v>164</v>
      </c>
      <c r="D4" s="8" t="s">
        <v>793</v>
      </c>
    </row>
    <row r="5" spans="1:4" x14ac:dyDescent="0.3">
      <c r="A5" s="5" t="s">
        <v>7</v>
      </c>
      <c r="C5" t="s">
        <v>85</v>
      </c>
      <c r="D5" s="8" t="s">
        <v>794</v>
      </c>
    </row>
    <row r="6" spans="1:4" x14ac:dyDescent="0.3">
      <c r="C6" t="s">
        <v>345</v>
      </c>
      <c r="D6" s="8" t="s">
        <v>795</v>
      </c>
    </row>
    <row r="7" spans="1:4" x14ac:dyDescent="0.3">
      <c r="C7" t="s">
        <v>33</v>
      </c>
      <c r="D7" s="8" t="s">
        <v>796</v>
      </c>
    </row>
    <row r="8" spans="1:4" x14ac:dyDescent="0.3">
      <c r="C8" t="s">
        <v>48</v>
      </c>
      <c r="D8" s="8" t="s">
        <v>797</v>
      </c>
    </row>
    <row r="9" spans="1:4" x14ac:dyDescent="0.3">
      <c r="C9" t="s">
        <v>168</v>
      </c>
      <c r="D9" s="8" t="s">
        <v>798</v>
      </c>
    </row>
    <row r="204" spans="1:2" x14ac:dyDescent="0.3">
      <c r="A204" s="152"/>
      <c r="B204" s="152"/>
    </row>
    <row r="205" spans="1:2" x14ac:dyDescent="0.3">
      <c r="A205" s="152"/>
      <c r="B205" s="152"/>
    </row>
    <row r="206" spans="1:2" x14ac:dyDescent="0.3">
      <c r="A206" s="151"/>
      <c r="B206" s="151"/>
    </row>
    <row r="207" spans="1:2" x14ac:dyDescent="0.3">
      <c r="A207" s="151"/>
      <c r="B207" s="151"/>
    </row>
    <row r="208" spans="1:2" x14ac:dyDescent="0.3">
      <c r="A208" s="152"/>
      <c r="B208" s="152"/>
    </row>
    <row r="209" spans="1:4" x14ac:dyDescent="0.3">
      <c r="A209" s="152"/>
      <c r="B209" s="152"/>
    </row>
    <row r="210" spans="1:4" x14ac:dyDescent="0.3">
      <c r="A210" s="151"/>
      <c r="B210" s="151"/>
    </row>
    <row r="211" spans="1:4" x14ac:dyDescent="0.3">
      <c r="A211" s="151"/>
      <c r="B211" s="151"/>
    </row>
    <row r="212" spans="1:4" x14ac:dyDescent="0.3">
      <c r="A212" s="152"/>
      <c r="B212" s="152"/>
      <c r="D212" s="6"/>
    </row>
    <row r="213" spans="1:4" x14ac:dyDescent="0.3">
      <c r="A213" s="152"/>
      <c r="B213" s="152"/>
      <c r="D213" s="6"/>
    </row>
    <row r="214" spans="1:4" x14ac:dyDescent="0.3">
      <c r="A214" s="151"/>
      <c r="B214" s="151"/>
    </row>
    <row r="215" spans="1:4" x14ac:dyDescent="0.3">
      <c r="A215" s="151"/>
      <c r="B215" s="151"/>
    </row>
    <row r="216" spans="1:4" x14ac:dyDescent="0.3">
      <c r="A216" s="152"/>
      <c r="B216" s="152"/>
    </row>
    <row r="217" spans="1:4" x14ac:dyDescent="0.3">
      <c r="A217" s="152"/>
      <c r="B217" s="152"/>
    </row>
    <row r="218" spans="1:4" x14ac:dyDescent="0.3">
      <c r="A218" s="151"/>
      <c r="B218" s="151"/>
    </row>
    <row r="219" spans="1:4" x14ac:dyDescent="0.3">
      <c r="A219" s="151"/>
      <c r="B219" s="151"/>
    </row>
    <row r="220" spans="1:4" x14ac:dyDescent="0.3">
      <c r="A220" s="152"/>
      <c r="B220" s="152"/>
    </row>
    <row r="221" spans="1:4" x14ac:dyDescent="0.3">
      <c r="A221" s="152"/>
      <c r="B221" s="152"/>
    </row>
    <row r="222" spans="1:4" x14ac:dyDescent="0.3">
      <c r="A222" s="151"/>
      <c r="B222" s="151"/>
    </row>
    <row r="223" spans="1:4" x14ac:dyDescent="0.3">
      <c r="A223" s="151"/>
      <c r="B223" s="151"/>
    </row>
    <row r="229" spans="1:4" x14ac:dyDescent="0.3">
      <c r="A229" s="152"/>
      <c r="B229" s="152"/>
    </row>
    <row r="230" spans="1:4" x14ac:dyDescent="0.3">
      <c r="A230" s="152"/>
      <c r="B230" s="152"/>
    </row>
    <row r="231" spans="1:4" x14ac:dyDescent="0.3">
      <c r="A231" s="151"/>
      <c r="B231" s="151"/>
    </row>
    <row r="232" spans="1:4" x14ac:dyDescent="0.3">
      <c r="A232" s="151"/>
      <c r="B232" s="151"/>
    </row>
    <row r="233" spans="1:4" x14ac:dyDescent="0.3">
      <c r="A233" s="150"/>
      <c r="B233" s="150"/>
    </row>
    <row r="234" spans="1:4" x14ac:dyDescent="0.3">
      <c r="A234" s="150"/>
      <c r="B234" s="150"/>
    </row>
    <row r="235" spans="1:4" x14ac:dyDescent="0.3">
      <c r="A235" s="151"/>
      <c r="B235" s="151"/>
    </row>
    <row r="236" spans="1:4" x14ac:dyDescent="0.3">
      <c r="A236" s="151"/>
      <c r="B236" s="151"/>
    </row>
    <row r="237" spans="1:4" x14ac:dyDescent="0.3">
      <c r="A237" s="152"/>
      <c r="B237" s="152"/>
      <c r="D237" s="6"/>
    </row>
    <row r="238" spans="1:4" x14ac:dyDescent="0.3">
      <c r="A238" s="152"/>
      <c r="B238" s="152"/>
      <c r="D238" s="6"/>
    </row>
    <row r="239" spans="1:4" x14ac:dyDescent="0.3">
      <c r="A239" s="151"/>
      <c r="B239" s="151"/>
    </row>
    <row r="240" spans="1:4" x14ac:dyDescent="0.3">
      <c r="A240" s="151"/>
      <c r="B240" s="151"/>
    </row>
    <row r="241" spans="1:2" x14ac:dyDescent="0.3">
      <c r="A241" s="152"/>
      <c r="B241" s="152"/>
    </row>
    <row r="242" spans="1:2" x14ac:dyDescent="0.3">
      <c r="A242" s="152"/>
      <c r="B242" s="152"/>
    </row>
    <row r="243" spans="1:2" x14ac:dyDescent="0.3">
      <c r="A243" s="151"/>
      <c r="B243" s="151"/>
    </row>
    <row r="244" spans="1:2" x14ac:dyDescent="0.3">
      <c r="A244" s="151"/>
      <c r="B244" s="151"/>
    </row>
    <row r="245" spans="1:2" x14ac:dyDescent="0.3">
      <c r="A245" s="150"/>
      <c r="B245" s="150"/>
    </row>
    <row r="246" spans="1:2" x14ac:dyDescent="0.3">
      <c r="A246" s="150"/>
      <c r="B246" s="150"/>
    </row>
    <row r="247" spans="1:2" x14ac:dyDescent="0.3">
      <c r="A247" s="151"/>
      <c r="B247" s="151"/>
    </row>
    <row r="248" spans="1:2" x14ac:dyDescent="0.3">
      <c r="A248" s="151"/>
      <c r="B248" s="151"/>
    </row>
  </sheetData>
  <mergeCells count="40">
    <mergeCell ref="A204:A205"/>
    <mergeCell ref="A206:A207"/>
    <mergeCell ref="A208:A209"/>
    <mergeCell ref="A210:A211"/>
    <mergeCell ref="A212:A213"/>
    <mergeCell ref="B214:B215"/>
    <mergeCell ref="B216:B217"/>
    <mergeCell ref="B218:B219"/>
    <mergeCell ref="A216:A217"/>
    <mergeCell ref="A218:A219"/>
    <mergeCell ref="A214:A215"/>
    <mergeCell ref="B204:B205"/>
    <mergeCell ref="B206:B207"/>
    <mergeCell ref="B208:B209"/>
    <mergeCell ref="B210:B211"/>
    <mergeCell ref="B212:B213"/>
    <mergeCell ref="A231:A232"/>
    <mergeCell ref="B231:B232"/>
    <mergeCell ref="A222:A223"/>
    <mergeCell ref="B220:B221"/>
    <mergeCell ref="B222:B223"/>
    <mergeCell ref="A229:A230"/>
    <mergeCell ref="B229:B230"/>
    <mergeCell ref="A220:A221"/>
    <mergeCell ref="A233:A234"/>
    <mergeCell ref="B233:B234"/>
    <mergeCell ref="A235:A236"/>
    <mergeCell ref="B235:B236"/>
    <mergeCell ref="A237:A238"/>
    <mergeCell ref="B237:B238"/>
    <mergeCell ref="A239:A240"/>
    <mergeCell ref="B239:B240"/>
    <mergeCell ref="A241:A242"/>
    <mergeCell ref="B241:B242"/>
    <mergeCell ref="A243:A244"/>
    <mergeCell ref="B243:B244"/>
    <mergeCell ref="A245:A246"/>
    <mergeCell ref="B245:B246"/>
    <mergeCell ref="A247:A248"/>
    <mergeCell ref="B247:B248"/>
  </mergeCells>
  <hyperlinks>
    <hyperlink ref="D2" r:id="rId1" xr:uid="{C0CE57DA-91C5-4258-9AC4-D76FB128836C}"/>
    <hyperlink ref="D3" r:id="rId2" xr:uid="{B9937053-5619-4D15-AB73-E02680231669}"/>
    <hyperlink ref="D4" r:id="rId3" xr:uid="{30A51954-21A7-4D50-B619-DE5A1AFF0D5A}"/>
    <hyperlink ref="D5" r:id="rId4" xr:uid="{C8936FA5-E905-442B-939B-D679C47D7F84}"/>
    <hyperlink ref="D6" r:id="rId5" xr:uid="{3B3E7890-F9F2-40BD-A641-06A750ED3BFE}"/>
    <hyperlink ref="D7" r:id="rId6" xr:uid="{C03E758D-7F14-4DA2-BBFF-3D8EED5720F5}"/>
    <hyperlink ref="D8" r:id="rId7" xr:uid="{F08A6FB6-03F4-4A22-84AD-2A6A17B8A175}"/>
    <hyperlink ref="D9" r:id="rId8" xr:uid="{D8CAB2B2-F313-48CF-A0DD-97BDB2231AA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5AC4D6635FBE5499BDE94E69CD56426" ma:contentTypeVersion="16" ma:contentTypeDescription="Create a new document." ma:contentTypeScope="" ma:versionID="02d8f3965857450a709c18ed08bf38df">
  <xsd:schema xmlns:xsd="http://www.w3.org/2001/XMLSchema" xmlns:xs="http://www.w3.org/2001/XMLSchema" xmlns:p="http://schemas.microsoft.com/office/2006/metadata/properties" xmlns:ns2="09cb658e-d8d1-4a19-a68e-71e4bd57ff79" xmlns:ns3="5212af9a-ba75-4998-9540-b6cd3cdc3671" targetNamespace="http://schemas.microsoft.com/office/2006/metadata/properties" ma:root="true" ma:fieldsID="6445d9131ea097193189a9b6b9cc34bf" ns2:_="" ns3:_="">
    <xsd:import namespace="09cb658e-d8d1-4a19-a68e-71e4bd57ff79"/>
    <xsd:import namespace="5212af9a-ba75-4998-9540-b6cd3cdc3671"/>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SearchProperties" minOccurs="0"/>
                <xsd:element ref="ns3:SharedWithUsers" minOccurs="0"/>
                <xsd:element ref="ns3:SharedWithDetails" minOccurs="0"/>
                <xsd:element ref="ns2:MediaServiceObjectDetectorVersions"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b658e-d8d1-4a19-a68e-71e4bd57ff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69207b-216a-4e96-89ed-5afb4b19d1f6"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212af9a-ba75-4998-9540-b6cd3cdc3671"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4d613c3-eeb0-438c-840a-dbd2ea7ae110}" ma:internalName="TaxCatchAll" ma:showField="CatchAllData" ma:web="5212af9a-ba75-4998-9540-b6cd3cdc3671">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9cb658e-d8d1-4a19-a68e-71e4bd57ff79">
      <Terms xmlns="http://schemas.microsoft.com/office/infopath/2007/PartnerControls"/>
    </lcf76f155ced4ddcb4097134ff3c332f>
    <TaxCatchAll xmlns="5212af9a-ba75-4998-9540-b6cd3cdc3671" xsi:nil="true"/>
    <SharedWithUsers xmlns="5212af9a-ba75-4998-9540-b6cd3cdc3671">
      <UserInfo>
        <DisplayName/>
        <AccountId xsi:nil="true"/>
        <AccountType/>
      </UserInfo>
    </SharedWithUsers>
  </documentManagement>
</p:properties>
</file>

<file path=customXml/itemProps1.xml><?xml version="1.0" encoding="utf-8"?>
<ds:datastoreItem xmlns:ds="http://schemas.openxmlformats.org/officeDocument/2006/customXml" ds:itemID="{0C3AAA10-C8E4-43AD-AECC-F7E81B6AAB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b658e-d8d1-4a19-a68e-71e4bd57ff79"/>
    <ds:schemaRef ds:uri="5212af9a-ba75-4998-9540-b6cd3cdc36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E81E018-9062-4118-BE0E-2F5838468807}">
  <ds:schemaRefs>
    <ds:schemaRef ds:uri="http://schemas.microsoft.com/sharepoint/v3/contenttype/forms"/>
  </ds:schemaRefs>
</ds:datastoreItem>
</file>

<file path=customXml/itemProps3.xml><?xml version="1.0" encoding="utf-8"?>
<ds:datastoreItem xmlns:ds="http://schemas.openxmlformats.org/officeDocument/2006/customXml" ds:itemID="{ACDAE8CE-A9FE-48A7-83D2-C431B8715CB0}">
  <ds:schemaRefs>
    <ds:schemaRef ds:uri="http://schemas.microsoft.com/office/2006/metadata/properties"/>
    <ds:schemaRef ds:uri="http://schemas.microsoft.com/office/infopath/2007/PartnerControls"/>
    <ds:schemaRef ds:uri="09cb658e-d8d1-4a19-a68e-71e4bd57ff79"/>
    <ds:schemaRef ds:uri="5212af9a-ba75-4998-9540-b6cd3cdc3671"/>
  </ds:schemaRefs>
</ds:datastoreItem>
</file>

<file path=docMetadata/LabelInfo.xml><?xml version="1.0" encoding="utf-8"?>
<clbl:labelList xmlns:clbl="http://schemas.microsoft.com/office/2020/mipLabelMetadata">
  <clbl:label id="{26cc4ce3-5863-44e3-815a-1a73a089bf3b}" enabled="1" method="Standard" siteId="{bbb8da8f-f374-490f-9190-2242176e117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MSBP Consolidated Plan</vt:lpstr>
      <vt:lpstr>Setting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Dhany Indraswara</dc:creator>
  <cp:keywords/>
  <dc:description/>
  <cp:lastModifiedBy>Dhany Indraswara</cp:lastModifiedBy>
  <cp:revision/>
  <dcterms:created xsi:type="dcterms:W3CDTF">2025-01-02T01:35:08Z</dcterms:created>
  <dcterms:modified xsi:type="dcterms:W3CDTF">2026-06-30T02:43:55Z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0x01010095AC4D6635FBE5499BDE94E69CD56426</vt:lpwstr>
  </property>
  <property fmtid="{D5CDD505-2E9C-101B-9397-08002B2CF9AE}" pid="3" name="MediaServiceImageTags">
    <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_activity">
    <vt:lpwstr>{"FileActivityType":"9","FileActivityTimeStamp":"2025-01-08T07:23:04.460Z","FileActivityUsersOnPage":[{"DisplayName":"Dhany Indraswara","Id":"dhany_indraswara@banpuindo.co.id"},{"DisplayName":"ANDRI SUBARUL NURYAQIN","Id":"andri_s@banpuindo.co.id"},{"DisplayName":"R ADITYA RESMAWAN","Id":"aditya_r@banpuindo.co.id"},{"DisplayName":"Bella Aulia Yolanda","Id":"bella_yolanda@banpuindo.co.id"},{"DisplayName":"Reza Suryawardhana","Id":"reza_suryawardhana@banpuindo.co.id"},{"DisplayName":"Afrizon","Id":"afrizon_afrizon@banpuindo.co.id"},{"DisplayName":"Ratih Ramadhani Putri","Id":"ratih_putri@banpuindo.co.id"},{"DisplayName":"Aldy Rienaldy","Id":"aldy_rienaldy@banpuindo.co.id"}],"FileActivityNavigationId":null}</vt:lpwstr>
  </property>
</Properties>
</file>